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Khan\Downloads\"/>
    </mc:Choice>
  </mc:AlternateContent>
  <xr:revisionPtr revIDLastSave="0" documentId="13_ncr:1_{C2AB2AF5-27B9-4965-A499-3E499FF64116}" xr6:coauthVersionLast="47" xr6:coauthVersionMax="47" xr10:uidLastSave="{00000000-0000-0000-0000-000000000000}"/>
  <bookViews>
    <workbookView xWindow="-120" yWindow="-120" windowWidth="20730" windowHeight="11160" tabRatio="500" activeTab="3" xr2:uid="{00000000-000D-0000-FFFF-FFFF00000000}"/>
  </bookViews>
  <sheets>
    <sheet name="Instructions" sheetId="1" r:id="rId1"/>
    <sheet name="Entry Form" sheetId="2" r:id="rId2"/>
    <sheet name="Patient Data" sheetId="3" r:id="rId3"/>
    <sheet name="Dashboard" sheetId="4" r:id="rId4"/>
    <sheet name="Clinical Analysis" sheetId="5" r:id="rId5"/>
    <sheet name="Technical Comparison" sheetId="6" r:id="rId6"/>
    <sheet name="Statistical Tests" sheetId="7" r:id="rId7"/>
    <sheet name="Data Quality" sheetId="8" r:id="rId8"/>
  </sheets>
  <definedNames>
    <definedName name="_xlnm.Print_Area" localSheetId="4">'Clinical Analysis'!$A$1:$M$30</definedName>
    <definedName name="_xlnm.Print_Area" localSheetId="3">Dashboard!$A$1:$J$65</definedName>
    <definedName name="_xlnm.Print_Area" localSheetId="7">'Data Quality'!$A$1:$B$12</definedName>
    <definedName name="_xlnm.Print_Area" localSheetId="0">Instructions!$A$1:$B$60</definedName>
    <definedName name="_xlnm.Print_Area" localSheetId="6">'Statistical Tests'!$A$1:$E$29</definedName>
    <definedName name="_xlnm.Print_Area" localSheetId="5">'Technical Comparison'!$A$1:$G$32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6" l="1"/>
  <c r="C12" i="6"/>
  <c r="C10" i="6"/>
  <c r="B8" i="6"/>
  <c r="D8" i="6" s="1"/>
  <c r="B6" i="6"/>
  <c r="B44" i="4"/>
  <c r="B19" i="5"/>
  <c r="E9" i="5"/>
  <c r="B14" i="4"/>
  <c r="C11" i="2"/>
  <c r="B10" i="8"/>
  <c r="B9" i="8"/>
  <c r="B7" i="8"/>
  <c r="B6" i="8"/>
  <c r="B5" i="8"/>
  <c r="B4" i="8"/>
  <c r="B24" i="7"/>
  <c r="B23" i="7"/>
  <c r="C7" i="7"/>
  <c r="B7" i="7"/>
  <c r="C9" i="7" s="1"/>
  <c r="C6" i="7"/>
  <c r="B9" i="7" s="1"/>
  <c r="B6" i="7"/>
  <c r="F15" i="6"/>
  <c r="E15" i="6"/>
  <c r="G15" i="6" s="1"/>
  <c r="C15" i="6"/>
  <c r="B15" i="6"/>
  <c r="F14" i="6"/>
  <c r="E14" i="6"/>
  <c r="G14" i="6" s="1"/>
  <c r="B14" i="6"/>
  <c r="F13" i="6"/>
  <c r="E13" i="6"/>
  <c r="G13" i="6" s="1"/>
  <c r="C13" i="6"/>
  <c r="B13" i="6"/>
  <c r="F12" i="6"/>
  <c r="E12" i="6"/>
  <c r="G12" i="6" s="1"/>
  <c r="B12" i="6"/>
  <c r="F11" i="6"/>
  <c r="E11" i="6"/>
  <c r="C11" i="6"/>
  <c r="B11" i="6"/>
  <c r="D11" i="6" s="1"/>
  <c r="F10" i="6"/>
  <c r="E10" i="6"/>
  <c r="B10" i="6"/>
  <c r="F9" i="6"/>
  <c r="E9" i="6"/>
  <c r="C9" i="6"/>
  <c r="B9" i="6"/>
  <c r="F8" i="6"/>
  <c r="E8" i="6"/>
  <c r="C8" i="6"/>
  <c r="F7" i="6"/>
  <c r="E7" i="6"/>
  <c r="C7" i="6"/>
  <c r="B7" i="6"/>
  <c r="F6" i="6"/>
  <c r="E6" i="6"/>
  <c r="C6" i="6"/>
  <c r="C28" i="5"/>
  <c r="B28" i="5"/>
  <c r="C27" i="5"/>
  <c r="C26" i="5"/>
  <c r="B26" i="5"/>
  <c r="C25" i="5"/>
  <c r="B25" i="5"/>
  <c r="C19" i="5"/>
  <c r="D19" i="5" s="1"/>
  <c r="C18" i="5"/>
  <c r="D18" i="5" s="1"/>
  <c r="C17" i="5"/>
  <c r="D17" i="5" s="1"/>
  <c r="B17" i="5"/>
  <c r="C16" i="5"/>
  <c r="D16" i="5" s="1"/>
  <c r="B16" i="5"/>
  <c r="E12" i="5"/>
  <c r="C12" i="5"/>
  <c r="E11" i="5"/>
  <c r="D11" i="5"/>
  <c r="C11" i="5"/>
  <c r="E10" i="5"/>
  <c r="D10" i="5"/>
  <c r="C10" i="5"/>
  <c r="D9" i="5"/>
  <c r="E8" i="5"/>
  <c r="D8" i="5"/>
  <c r="C8" i="5"/>
  <c r="E7" i="5"/>
  <c r="D7" i="5"/>
  <c r="C7" i="5"/>
  <c r="E6" i="5"/>
  <c r="D6" i="5"/>
  <c r="C6" i="5"/>
  <c r="E5" i="5"/>
  <c r="D5" i="5"/>
  <c r="C5" i="5"/>
  <c r="B45" i="4"/>
  <c r="B43" i="4"/>
  <c r="B41" i="4"/>
  <c r="B39" i="4"/>
  <c r="B37" i="4"/>
  <c r="B35" i="4"/>
  <c r="B30" i="4"/>
  <c r="B29" i="4"/>
  <c r="B28" i="4"/>
  <c r="B27" i="4"/>
  <c r="B26" i="4"/>
  <c r="B25" i="4"/>
  <c r="B24" i="4"/>
  <c r="B23" i="4"/>
  <c r="B22" i="4"/>
  <c r="B21" i="4"/>
  <c r="B17" i="4"/>
  <c r="B15" i="4"/>
  <c r="C10" i="4"/>
  <c r="B10" i="4"/>
  <c r="C9" i="4"/>
  <c r="B9" i="4"/>
  <c r="H4" i="4"/>
  <c r="F4" i="4"/>
  <c r="D4" i="4"/>
  <c r="B4" i="4"/>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G9" i="6" l="1"/>
  <c r="D13" i="6"/>
  <c r="D14" i="6"/>
  <c r="B16" i="4"/>
  <c r="B34" i="4"/>
  <c r="B38" i="4"/>
  <c r="B42" i="4"/>
  <c r="C9" i="5"/>
  <c r="B18" i="5"/>
  <c r="B27" i="5"/>
  <c r="D9" i="6"/>
  <c r="G11" i="6"/>
  <c r="B8" i="8"/>
  <c r="B16" i="7"/>
  <c r="B17" i="7" s="1"/>
  <c r="B36" i="4"/>
  <c r="B40" i="4"/>
  <c r="B46" i="4" s="1"/>
  <c r="D12" i="5"/>
  <c r="G6" i="6"/>
  <c r="G7" i="6"/>
  <c r="G8" i="6"/>
  <c r="D10" i="6"/>
  <c r="D6" i="6"/>
  <c r="D7" i="6"/>
  <c r="G10" i="6"/>
  <c r="D12" i="6"/>
  <c r="D15" i="6"/>
  <c r="B10" i="7"/>
  <c r="B11" i="7" s="1"/>
  <c r="B18" i="7"/>
  <c r="B19" i="7" l="1"/>
</calcChain>
</file>

<file path=xl/sharedStrings.xml><?xml version="1.0" encoding="utf-8"?>
<sst xmlns="http://schemas.openxmlformats.org/spreadsheetml/2006/main" count="2439" uniqueCount="515">
  <si>
    <t>SMART EYE CAMERA vs SLIT LAMP — RESEARCH TEMPLATE (Excel)</t>
  </si>
  <si>
    <t>What this workbook is</t>
  </si>
  <si>
    <t>This is an Excel version of the Smart Eye Camera vs Slit Lamp research dashboard (originally built in R Shiny). It has the same patient entry, dataset, and analysis logic, organized across the tabs below.</t>
  </si>
  <si>
    <t>Tabs in this workbook</t>
  </si>
  <si>
    <t>Entry Form</t>
  </si>
  <si>
    <t>Fill in one patient at a time, then copy the assembled row into 'Patient Data'.</t>
  </si>
  <si>
    <t>Patient Data</t>
  </si>
  <si>
    <t>The master table of every patient — one row per patient, 51 columns. Pre-filled with 120 example (synthetic/fake) patients so every chart and test below already has something to show. Delete these example rows whenever you're ready to start your real study — everything recalculates automatically.</t>
  </si>
  <si>
    <t>Dashboard</t>
  </si>
  <si>
    <t>KPIs and charts: total patients, mean age, satisfaction %, gender, age, and diagnosis distributions.</t>
  </si>
  <si>
    <t>Clinical Analysis</t>
  </si>
  <si>
    <t>Slit Lamp vs Smart Camera comparison for IOP, SPH, CYL and Axis, with a paired t-test.</t>
  </si>
  <si>
    <t>Technical Comparison</t>
  </si>
  <si>
    <t>The 10 usability parameters (Convenience, Accuracy, Portability, etc.) side by side.</t>
  </si>
  <si>
    <t>Statistical Tests</t>
  </si>
  <si>
    <t>McNemar test, Cohen's Kappa, and paired t-test for IOP, matching the original dashboard.</t>
  </si>
  <si>
    <t>Data Quality</t>
  </si>
  <si>
    <t>Duplicate and missing-value checks, colour-coded green (0 issues) / red (issues found).</t>
  </si>
  <si>
    <t>How to add a new patient</t>
  </si>
  <si>
    <t>1. Go to the 'Entry Form' tab and fill the yellow cells for one patient.</t>
  </si>
  <si>
    <t>2. Scroll to the row labelled 'COPY THIS ROW → paste as VALUES into the next empty row of Patient Data'.</t>
  </si>
  <si>
    <t>3. Select that whole row, copy it (Ctrl+C).</t>
  </si>
  <si>
    <t>4. Go to 'Patient Data', click the first empty row in column A, then Paste Special → Values (Ctrl+Alt+V, then V, Enter).</t>
  </si>
  <si>
    <t>5. Clear the yellow cells on 'Entry Form' and repeat for the next patient.</t>
  </si>
  <si>
    <t>Removing the example data</t>
  </si>
  <si>
    <t>The 120 rows in 'Patient Data' are synthetic/fake patients for demonstration only — no real patient information. Select those rows and delete them (keep the header row) before you start entering real patients. All KPIs, charts and statistical tests use formulas that reference the whole column, so they update automatically and will simply show 0 / blank until you add real rows.</t>
  </si>
  <si>
    <t>Notes</t>
  </si>
  <si>
    <t>- Dropdown lists (Gender, Examination Outcome, Convenience, etc.) are already set up on both the Entry Form and the Patient Data sheet, so typos are avoided.
- Excel has no built-in Wilcoxon signed-rank test or Bland-Altman plot — see the note on the 'Statistical Tests' tab if you need those.
- All numbers you see (KPIs, tables, chart data) are live formulas, not fixed numbers — editing or adding patient rows updates everything automatically.</t>
  </si>
  <si>
    <t>SMART EYE CAMERA vs SLIT LAMP — PATIENT ENTRY FORM</t>
  </si>
  <si>
    <t>Fill the yellow cells below for ONE patient. When done, scroll to the bottom row labelled 'COPY THIS ROW', select it, copy (Ctrl+C), go to the 'Patient Data' sheet, click the first empty row in column A, and Paste Special → Values (Ctrl+Alt+V, then V). Then come back here and clear the yellow cells for the next patient.</t>
  </si>
  <si>
    <t>1. Demographics</t>
  </si>
  <si>
    <t>Study ID *</t>
  </si>
  <si>
    <t>Must be unique, e.g. EYE-121</t>
  </si>
  <si>
    <t>Patient Name</t>
  </si>
  <si>
    <t>Age</t>
  </si>
  <si>
    <t>Gender</t>
  </si>
  <si>
    <t>Address</t>
  </si>
  <si>
    <t>Date Entered</t>
  </si>
  <si>
    <t>2. Distance Vision &amp; Refraction</t>
  </si>
  <si>
    <t>Slit Lamp</t>
  </si>
  <si>
    <t>Smart Camera</t>
  </si>
  <si>
    <t>VA (Visual Acuity)</t>
  </si>
  <si>
    <t>e.g. 6/6, 6/12, CF 1m</t>
  </si>
  <si>
    <t>PH (Pinhole)</t>
  </si>
  <si>
    <t>e.g. 6/9, NI, Not done</t>
  </si>
  <si>
    <t>BVCA (Best Corrected)</t>
  </si>
  <si>
    <t>IOP</t>
  </si>
  <si>
    <t>mmHg, numeric</t>
  </si>
  <si>
    <t>SPH</t>
  </si>
  <si>
    <t>diopters, e.g. -1.25</t>
  </si>
  <si>
    <t>CYL</t>
  </si>
  <si>
    <t>diopters, e.g. -0.50</t>
  </si>
  <si>
    <t>Axis</t>
  </si>
  <si>
    <t>0-180</t>
  </si>
  <si>
    <t>3. Clinical Examination</t>
  </si>
  <si>
    <t>Auto Refraction (R)</t>
  </si>
  <si>
    <t>Near Vision</t>
  </si>
  <si>
    <t>e.g. N6, N8, N10</t>
  </si>
  <si>
    <t>Extra Ocular Movement</t>
  </si>
  <si>
    <t>e.g. Full and free, Restricted</t>
  </si>
  <si>
    <t>Convergence</t>
  </si>
  <si>
    <t>e.g. Normal, Reduced, Absent</t>
  </si>
  <si>
    <t>Cover / Uncover Test</t>
  </si>
  <si>
    <t>e.g. Orthophoria, Esotropia</t>
  </si>
  <si>
    <t>Hirschberg - Straight</t>
  </si>
  <si>
    <t>e.g. Central, Not central</t>
  </si>
  <si>
    <t>Hirschberg - Deviation</t>
  </si>
  <si>
    <t>e.g. None, ~15° esotropia</t>
  </si>
  <si>
    <t>4. Diagnosis &amp; Treatment</t>
  </si>
  <si>
    <t>Diagnosis</t>
  </si>
  <si>
    <t>Treatment</t>
  </si>
  <si>
    <t>5. Examination Outcome</t>
  </si>
  <si>
    <t>Examination Result</t>
  </si>
  <si>
    <t>6. Technical / Usability Comparison</t>
  </si>
  <si>
    <t>1. Convenience / Ease</t>
  </si>
  <si>
    <t>2. Accuracy &amp; Clarity</t>
  </si>
  <si>
    <t>3. Time Efficiency</t>
  </si>
  <si>
    <t>4. Training &amp; Learning Curve</t>
  </si>
  <si>
    <t>5. External Light Source</t>
  </si>
  <si>
    <t>6. Portability</t>
  </si>
  <si>
    <t>7. Recording &amp; Storage</t>
  </si>
  <si>
    <t>8. Clinical Examination</t>
  </si>
  <si>
    <t>9. Resolution</t>
  </si>
  <si>
    <t>10. Field of View</t>
  </si>
  <si>
    <t>COPY THIS ROW → paste as VALUES into the next empty row of the 'Patient Data' sheet</t>
  </si>
  <si>
    <t>Study_ID</t>
  </si>
  <si>
    <t>Patient_Name</t>
  </si>
  <si>
    <t>Date_Entered</t>
  </si>
  <si>
    <t>VA_Slit</t>
  </si>
  <si>
    <t>PH_Slit</t>
  </si>
  <si>
    <t>BVCA_Slit</t>
  </si>
  <si>
    <t>VA_Camera</t>
  </si>
  <si>
    <t>PH_Camera</t>
  </si>
  <si>
    <t>BVCA_Camera</t>
  </si>
  <si>
    <t>IOP_Slit</t>
  </si>
  <si>
    <t>IOP_Camera</t>
  </si>
  <si>
    <t>SPH_Slit</t>
  </si>
  <si>
    <t>CYL_Slit</t>
  </si>
  <si>
    <t>Axis_Slit</t>
  </si>
  <si>
    <t>SPH_Camera</t>
  </si>
  <si>
    <t>CYL_Camera</t>
  </si>
  <si>
    <t>Axis_Camera</t>
  </si>
  <si>
    <t>Auto_Refraction_Right</t>
  </si>
  <si>
    <t>Near_Vision</t>
  </si>
  <si>
    <t>Extra_Ocular_Movement</t>
  </si>
  <si>
    <t>Cover_Uncover_Test</t>
  </si>
  <si>
    <t>Hirschberg_Straight</t>
  </si>
  <si>
    <t>Hirschberg_Deviation</t>
  </si>
  <si>
    <t>Slit_Examination</t>
  </si>
  <si>
    <t>Camera_Examination</t>
  </si>
  <si>
    <t>Slit_Convenience</t>
  </si>
  <si>
    <t>Camera_Convenience</t>
  </si>
  <si>
    <t>Slit_Accuracy</t>
  </si>
  <si>
    <t>Camera_Accuracy</t>
  </si>
  <si>
    <t>Slit_Time_Efficiency</t>
  </si>
  <si>
    <t>Camera_Time_Efficiency</t>
  </si>
  <si>
    <t>Slit_Training</t>
  </si>
  <si>
    <t>Camera_Training</t>
  </si>
  <si>
    <t>Slit_External_Light</t>
  </si>
  <si>
    <t>Camera_External_Light</t>
  </si>
  <si>
    <t>Slit_Portability</t>
  </si>
  <si>
    <t>Camera_Portability</t>
  </si>
  <si>
    <t>Slit_Recording</t>
  </si>
  <si>
    <t>Camera_Recording</t>
  </si>
  <si>
    <t>Slit_Clinical_Examination</t>
  </si>
  <si>
    <t>Camera_Clinical_Examination</t>
  </si>
  <si>
    <t>Slit_Resolution</t>
  </si>
  <si>
    <t>Camera_Resolution</t>
  </si>
  <si>
    <t>Slit_Field_of_View</t>
  </si>
  <si>
    <t>Camera_Field_of_View</t>
  </si>
  <si>
    <t>EYE-001</t>
  </si>
  <si>
    <t>Ayesha Hussain</t>
  </si>
  <si>
    <t>Female</t>
  </si>
  <si>
    <t>Saddar, Karachi</t>
  </si>
  <si>
    <t>2024-09-07</t>
  </si>
  <si>
    <t>6/6</t>
  </si>
  <si>
    <t>6/18</t>
  </si>
  <si>
    <t>6/12</t>
  </si>
  <si>
    <t>+3.13 / -0.72 x 34</t>
  </si>
  <si>
    <t>N10</t>
  </si>
  <si>
    <t>Full and free</t>
  </si>
  <si>
    <t>Reduced</t>
  </si>
  <si>
    <t>Exophoria</t>
  </si>
  <si>
    <t>Central, symmetric</t>
  </si>
  <si>
    <t>Allergic Conjunctivitis</t>
  </si>
  <si>
    <t>Spectacle correction reviewed and updated</t>
  </si>
  <si>
    <t>Satisfactory</t>
  </si>
  <si>
    <t>Not recorded</t>
  </si>
  <si>
    <t>Easy</t>
  </si>
  <si>
    <t>Satisfied</t>
  </si>
  <si>
    <t>No</t>
  </si>
  <si>
    <t>Yes</t>
  </si>
  <si>
    <t>EYE-002</t>
  </si>
  <si>
    <t>Zainab Raza</t>
  </si>
  <si>
    <t>Landhi, Karachi</t>
  </si>
  <si>
    <t>2024-06-16</t>
  </si>
  <si>
    <t>6/24</t>
  </si>
  <si>
    <t>HM</t>
  </si>
  <si>
    <t>6/60</t>
  </si>
  <si>
    <t>-1.88 / -3.05 x 86</t>
  </si>
  <si>
    <t>N6</t>
  </si>
  <si>
    <t>Normal</t>
  </si>
  <si>
    <t>Orthophoria</t>
  </si>
  <si>
    <t>Slightly nasal</t>
  </si>
  <si>
    <t>~15° esotropia</t>
  </si>
  <si>
    <t>Corneal Opacity</t>
  </si>
  <si>
    <t>No treatment required at this visit</t>
  </si>
  <si>
    <t>Difficult</t>
  </si>
  <si>
    <t>Very Easy</t>
  </si>
  <si>
    <t>Unsatisfied</t>
  </si>
  <si>
    <t>EYE-003</t>
  </si>
  <si>
    <t>Yusra Baig</t>
  </si>
  <si>
    <t>North Nazimabad, Karachi</t>
  </si>
  <si>
    <t>2024-11-01</t>
  </si>
  <si>
    <t>NI</t>
  </si>
  <si>
    <t>6/36</t>
  </si>
  <si>
    <t>-3.91 / -1.08 x 161</t>
  </si>
  <si>
    <t>N36</t>
  </si>
  <si>
    <t>Central</t>
  </si>
  <si>
    <t>Normal Examination</t>
  </si>
  <si>
    <t>Follow-up after 3 months advised</t>
  </si>
  <si>
    <t>EYE-004</t>
  </si>
  <si>
    <t>Amina Zaidi</t>
  </si>
  <si>
    <t>Liaquatabad, Karachi</t>
  </si>
  <si>
    <t>2025-04-29</t>
  </si>
  <si>
    <t>+0.02 / -1.31 x 41</t>
  </si>
  <si>
    <t>N8</t>
  </si>
  <si>
    <t>Restricted</t>
  </si>
  <si>
    <t>Patching therapy advised for amblyopia</t>
  </si>
  <si>
    <t>EYE-005</t>
  </si>
  <si>
    <t>Yusra Iqbal</t>
  </si>
  <si>
    <t>Korangi, Karachi</t>
  </si>
  <si>
    <t>2024-06-10</t>
  </si>
  <si>
    <t>CF 2m</t>
  </si>
  <si>
    <t>6/9</t>
  </si>
  <si>
    <t>-3.85 / -2.99 x 1</t>
  </si>
  <si>
    <t>Esophoria</t>
  </si>
  <si>
    <t>Strabismus</t>
  </si>
  <si>
    <t>Anti-glaucoma eye drops started</t>
  </si>
  <si>
    <t>EYE-006</t>
  </si>
  <si>
    <t>Javeria Hussain</t>
  </si>
  <si>
    <t>Defence (DHA), Karachi</t>
  </si>
  <si>
    <t>2025-06-01</t>
  </si>
  <si>
    <t>CF 1m</t>
  </si>
  <si>
    <t>-2.05 / -1.67 x 96</t>
  </si>
  <si>
    <t>Refractive Error</t>
  </si>
  <si>
    <t>Referred to retina specialist</t>
  </si>
  <si>
    <t>EYE-007</t>
  </si>
  <si>
    <t>Uzma Chaudhry</t>
  </si>
  <si>
    <t>2024-11-08</t>
  </si>
  <si>
    <t>-1.99 / -0.09 x 175</t>
  </si>
  <si>
    <t>N18</t>
  </si>
  <si>
    <t>Not central</t>
  </si>
  <si>
    <t>~20° exotropia</t>
  </si>
  <si>
    <t>EYE-008</t>
  </si>
  <si>
    <t>Sana Anwar</t>
  </si>
  <si>
    <t>Bahadurabad, Karachi</t>
  </si>
  <si>
    <t>2024-01-01</t>
  </si>
  <si>
    <t>+1.62 / -1.35 x 37</t>
  </si>
  <si>
    <t>Exotropia</t>
  </si>
  <si>
    <t>Amblyopia</t>
  </si>
  <si>
    <t>Unsatisfactory</t>
  </si>
  <si>
    <t>EYE-009</t>
  </si>
  <si>
    <t>Zainab Memon</t>
  </si>
  <si>
    <t>2024-06-11</t>
  </si>
  <si>
    <t>+1.99 / -1.39 x 159</t>
  </si>
  <si>
    <t>Lubricating eye drops prescribed</t>
  </si>
  <si>
    <t>EYE-010</t>
  </si>
  <si>
    <t>Erum Soomro</t>
  </si>
  <si>
    <t>Malir, Karachi</t>
  </si>
  <si>
    <t>2024-05-18</t>
  </si>
  <si>
    <t>+1.42 / -1.15 x 158</t>
  </si>
  <si>
    <t>N24</t>
  </si>
  <si>
    <t>Absent</t>
  </si>
  <si>
    <t>Cataract</t>
  </si>
  <si>
    <t>Surgical excision advised for pterygium</t>
  </si>
  <si>
    <t>EYE-011</t>
  </si>
  <si>
    <t>Hafsa Chaudhry</t>
  </si>
  <si>
    <t>Gulshan-e-Iqbal, Karachi</t>
  </si>
  <si>
    <t>2024-03-11</t>
  </si>
  <si>
    <t>-2.38 / -1.12 x 106</t>
  </si>
  <si>
    <t>Slightly temporal</t>
  </si>
  <si>
    <t>~25° esotropia</t>
  </si>
  <si>
    <t>EYE-012</t>
  </si>
  <si>
    <t>Rabia Soomro</t>
  </si>
  <si>
    <t>Nazimabad, Karachi</t>
  </si>
  <si>
    <t>2025-07-17</t>
  </si>
  <si>
    <t>+1.52 / -1.29 x 51</t>
  </si>
  <si>
    <t>Mild ~5°</t>
  </si>
  <si>
    <t>EYE-013</t>
  </si>
  <si>
    <t>Sameer Farooqi</t>
  </si>
  <si>
    <t>Male</t>
  </si>
  <si>
    <t>Federal B Area, Karachi</t>
  </si>
  <si>
    <t>2025-08-25</t>
  </si>
  <si>
    <t>-1.86 / -1.37 x 70</t>
  </si>
  <si>
    <t>EYE-014</t>
  </si>
  <si>
    <t>Rida Sheikh</t>
  </si>
  <si>
    <t>2025-04-26</t>
  </si>
  <si>
    <t>-0.21 / -1.45 x 104</t>
  </si>
  <si>
    <t>N12</t>
  </si>
  <si>
    <t>EYE-015</t>
  </si>
  <si>
    <t>Tariq Baloch</t>
  </si>
  <si>
    <t>Orangi Town, Karachi</t>
  </si>
  <si>
    <t>2024-09-06</t>
  </si>
  <si>
    <t>Not done</t>
  </si>
  <si>
    <t>+0.02 / -1.66 x 94</t>
  </si>
  <si>
    <t>Glaucoma suspect</t>
  </si>
  <si>
    <t>Referred for cataract surgery evaluation</t>
  </si>
  <si>
    <t>EYE-016</t>
  </si>
  <si>
    <t>Farhan Rizvi</t>
  </si>
  <si>
    <t>2024-03-23</t>
  </si>
  <si>
    <t>-4.18 / -0.25 x 166</t>
  </si>
  <si>
    <t>EYE-017</t>
  </si>
  <si>
    <t>Qasim Zaidi</t>
  </si>
  <si>
    <t>2025-01-02</t>
  </si>
  <si>
    <t>-0.94 / -0.70 x 129</t>
  </si>
  <si>
    <t>~10° exotropia</t>
  </si>
  <si>
    <t>Dry Eye Disease</t>
  </si>
  <si>
    <t>EYE-018</t>
  </si>
  <si>
    <t>Waqar Baig</t>
  </si>
  <si>
    <t>Gulistan-e-Johar, Karachi</t>
  </si>
  <si>
    <t>2025-04-10</t>
  </si>
  <si>
    <t>-3.87 / -0.40 x 61</t>
  </si>
  <si>
    <t>EYE-019</t>
  </si>
  <si>
    <t>Danish Abbasi</t>
  </si>
  <si>
    <t>-4.00 / -0.57 x 22</t>
  </si>
  <si>
    <t>EYE-020</t>
  </si>
  <si>
    <t>Zahid Iqbal</t>
  </si>
  <si>
    <t>2024-10-28</t>
  </si>
  <si>
    <t>-1.96 / -0.77 x 93</t>
  </si>
  <si>
    <t>EYE-021</t>
  </si>
  <si>
    <t>Hafsa Hussain</t>
  </si>
  <si>
    <t>Lyari, Karachi</t>
  </si>
  <si>
    <t>2024-01-30</t>
  </si>
  <si>
    <t>-2.54 / -0.32 x 31</t>
  </si>
  <si>
    <t>Conjunctivitis</t>
  </si>
  <si>
    <t>Reassurance and routine follow-up</t>
  </si>
  <si>
    <t>EYE-022</t>
  </si>
  <si>
    <t>Haris Ahmed</t>
  </si>
  <si>
    <t>2025-03-22</t>
  </si>
  <si>
    <t>-2.90 / -0.52 x 4</t>
  </si>
  <si>
    <t>EYE-023</t>
  </si>
  <si>
    <t>Rabia Iqbal</t>
  </si>
  <si>
    <t>2024-03-16</t>
  </si>
  <si>
    <t>+6.00 / -1.94 x 47</t>
  </si>
  <si>
    <t>Hypertropia</t>
  </si>
  <si>
    <t>EYE-024</t>
  </si>
  <si>
    <t>Erum Farooqi</t>
  </si>
  <si>
    <t>2025-07-26</t>
  </si>
  <si>
    <t>PL+</t>
  </si>
  <si>
    <t>-1.24 / -2.37 x 80</t>
  </si>
  <si>
    <t>Pterygium</t>
  </si>
  <si>
    <t>Topical antibiotic eye drops advised</t>
  </si>
  <si>
    <t>EYE-025</t>
  </si>
  <si>
    <t>Kashif Ahmed</t>
  </si>
  <si>
    <t>2025-05-07</t>
  </si>
  <si>
    <t>-0.06 / -0.75 x 163</t>
  </si>
  <si>
    <t>EYE-026</t>
  </si>
  <si>
    <t>Faisal Farooqi</t>
  </si>
  <si>
    <t>2025-03-15</t>
  </si>
  <si>
    <t>+1.51 / -1.61 x 3</t>
  </si>
  <si>
    <t>EYE-027</t>
  </si>
  <si>
    <t>Omar Soomro</t>
  </si>
  <si>
    <t>2025-02-13</t>
  </si>
  <si>
    <t>+2.53 / -0.39 x 154</t>
  </si>
  <si>
    <t>~20° esotropia</t>
  </si>
  <si>
    <t>EYE-028</t>
  </si>
  <si>
    <t>Ali Sheikh</t>
  </si>
  <si>
    <t>2025-05-26</t>
  </si>
  <si>
    <t>+0.27 / -2.41 x 95</t>
  </si>
  <si>
    <t>EYE-029</t>
  </si>
  <si>
    <t>Rida Anwar</t>
  </si>
  <si>
    <t>PECHS, Karachi</t>
  </si>
  <si>
    <t>2025-08-24</t>
  </si>
  <si>
    <t>-3.80 / -0.47 x 21</t>
  </si>
  <si>
    <t>EYE-030</t>
  </si>
  <si>
    <t>Faisal Abbasi</t>
  </si>
  <si>
    <t>2024-11-22</t>
  </si>
  <si>
    <t>+0.19 / -0.90 x 155</t>
  </si>
  <si>
    <t>EYE-031</t>
  </si>
  <si>
    <t>Danish Rizvi</t>
  </si>
  <si>
    <t>2025-01-17</t>
  </si>
  <si>
    <t>+1.08 / -1.32 x 156</t>
  </si>
  <si>
    <t>EYE-032</t>
  </si>
  <si>
    <t>Imran Soomro</t>
  </si>
  <si>
    <t>2025-05-28</t>
  </si>
  <si>
    <t>+2.38 / -0.38 x 157</t>
  </si>
  <si>
    <t>EYE-033</t>
  </si>
  <si>
    <t>Amina Raza</t>
  </si>
  <si>
    <t>2024-09-05</t>
  </si>
  <si>
    <t>+0.94 / -1.76 x 0</t>
  </si>
  <si>
    <t>EYE-034</t>
  </si>
  <si>
    <t>Nasir Farooqi</t>
  </si>
  <si>
    <t>2025-08-04</t>
  </si>
  <si>
    <t>-4.62 / -0.42 x 126</t>
  </si>
  <si>
    <t>EYE-035</t>
  </si>
  <si>
    <t>Javeria Zaidi</t>
  </si>
  <si>
    <t>2025-07-03</t>
  </si>
  <si>
    <t>+0.52 / -1.42 x 17</t>
  </si>
  <si>
    <t>EYE-036</t>
  </si>
  <si>
    <t>Qasim Raza</t>
  </si>
  <si>
    <t>2024-09-10</t>
  </si>
  <si>
    <t>-3.22 / -2.70 x 93</t>
  </si>
  <si>
    <t>EYE-037</t>
  </si>
  <si>
    <t>Kiran Farooqi</t>
  </si>
  <si>
    <t>2024-05-27</t>
  </si>
  <si>
    <t>-2.24 / -0.05 x 155</t>
  </si>
  <si>
    <t>Mildly restricted</t>
  </si>
  <si>
    <t>Spectacles prescribed</t>
  </si>
  <si>
    <t>EYE-038</t>
  </si>
  <si>
    <t>2025-07-20</t>
  </si>
  <si>
    <t>+0.60 / -1.21 x 180</t>
  </si>
  <si>
    <t>Esotropia</t>
  </si>
  <si>
    <t>EYE-039</t>
  </si>
  <si>
    <t>Yusra Qureshi</t>
  </si>
  <si>
    <t>2024-09-03</t>
  </si>
  <si>
    <t>-2.10 / -1.13 x 36</t>
  </si>
  <si>
    <t>EYE-040</t>
  </si>
  <si>
    <t>Haris Qureshi</t>
  </si>
  <si>
    <t>New Karachi, Karachi</t>
  </si>
  <si>
    <t>2024-03-21</t>
  </si>
  <si>
    <t>-0.46 / -1.10 x 104</t>
  </si>
  <si>
    <t>EYE-041</t>
  </si>
  <si>
    <t>Iqra Qureshi</t>
  </si>
  <si>
    <t>Clifton, Karachi</t>
  </si>
  <si>
    <t>2024-10-02</t>
  </si>
  <si>
    <t>+4.34 / -1.70 x 49</t>
  </si>
  <si>
    <t>EYE-042</t>
  </si>
  <si>
    <t>Kiran Hussain</t>
  </si>
  <si>
    <t>2024-06-06</t>
  </si>
  <si>
    <t>-3.05 / -1.27 x 149</t>
  </si>
  <si>
    <t>EYE-043</t>
  </si>
  <si>
    <t>Moiz Ahmed</t>
  </si>
  <si>
    <t>2024-04-27</t>
  </si>
  <si>
    <t>-2.51 / -0.62 x 0</t>
  </si>
  <si>
    <t>EYE-044</t>
  </si>
  <si>
    <t>Qasim Soomro</t>
  </si>
  <si>
    <t>2024-07-09</t>
  </si>
  <si>
    <t>-4.66 / -1.01 x 98</t>
  </si>
  <si>
    <t>EYE-045</t>
  </si>
  <si>
    <t>Haris Zaidi</t>
  </si>
  <si>
    <t>2024-12-25</t>
  </si>
  <si>
    <t>-3.37 / -1.08 x 165</t>
  </si>
  <si>
    <t>EYE-046</t>
  </si>
  <si>
    <t>Rashid Baloch</t>
  </si>
  <si>
    <t>2024-10-01</t>
  </si>
  <si>
    <t>+0.53 / -1.20 x 60</t>
  </si>
  <si>
    <t>EYE-047</t>
  </si>
  <si>
    <t>Hina Rizvi</t>
  </si>
  <si>
    <t>2024-05-16</t>
  </si>
  <si>
    <t>+1.05 / +0.00 x 130</t>
  </si>
  <si>
    <t>EYE-048</t>
  </si>
  <si>
    <t>Imran Ahmed</t>
  </si>
  <si>
    <t>2024-03-02</t>
  </si>
  <si>
    <t>-3.14 / -1.97 x 156</t>
  </si>
  <si>
    <t>EYE-049</t>
  </si>
  <si>
    <t>Bushra Baloch</t>
  </si>
  <si>
    <t>2025-08-03</t>
  </si>
  <si>
    <t>+4.46 / -1.64 x 22</t>
  </si>
  <si>
    <t>EYE-050</t>
  </si>
  <si>
    <t>Farah Khan</t>
  </si>
  <si>
    <t>2024-12-09</t>
  </si>
  <si>
    <t>-2.57 / -0.03 x 7</t>
  </si>
  <si>
    <t>EYE-051</t>
  </si>
  <si>
    <t>Nadia Qureshi</t>
  </si>
  <si>
    <t>2024-04-03</t>
  </si>
  <si>
    <t>-0.79 / -0.61 x 149</t>
  </si>
  <si>
    <t>Diabetic Retinopathy</t>
  </si>
  <si>
    <t>SMART EYE CAMERA vs SLIT LAMP — RESEARCH DASHBOARD</t>
  </si>
  <si>
    <t>Total Study Participants</t>
  </si>
  <si>
    <t>Mean Age</t>
  </si>
  <si>
    <t>Slit Lamp Satisfactory %</t>
  </si>
  <si>
    <t>Smart Camera Satisfactory %</t>
  </si>
  <si>
    <t>Examination Outcome by Device</t>
  </si>
  <si>
    <t>Outcome</t>
  </si>
  <si>
    <t>Gender Distribution</t>
  </si>
  <si>
    <t>Count</t>
  </si>
  <si>
    <t>Other</t>
  </si>
  <si>
    <t>Age Distribution</t>
  </si>
  <si>
    <t>Age Range</t>
  </si>
  <si>
    <t>0-10</t>
  </si>
  <si>
    <t>11-20</t>
  </si>
  <si>
    <t>21-30</t>
  </si>
  <si>
    <t>31-40</t>
  </si>
  <si>
    <t>41-50</t>
  </si>
  <si>
    <t>51-60</t>
  </si>
  <si>
    <t>61-70</t>
  </si>
  <si>
    <t>71-80</t>
  </si>
  <si>
    <t>81-90</t>
  </si>
  <si>
    <t>91+</t>
  </si>
  <si>
    <t>Diagnosis Distribution</t>
  </si>
  <si>
    <t>Other / not listed above</t>
  </si>
  <si>
    <t>Note: add a new row above 'Other' with its own COUNTIF formula if a diagnosis you use often is not in this list.</t>
  </si>
  <si>
    <t>CLINICAL MEASUREMENT COMPARISON</t>
  </si>
  <si>
    <t>Summary Statistics — Slit Lamp vs Smart Camera</t>
  </si>
  <si>
    <t>Parameter</t>
  </si>
  <si>
    <t>Device</t>
  </si>
  <si>
    <t>N</t>
  </si>
  <si>
    <t>Mean</t>
  </si>
  <si>
    <t>SD</t>
  </si>
  <si>
    <t>IOP (mmHg)</t>
  </si>
  <si>
    <t>SPH (diopters)</t>
  </si>
  <si>
    <t>CYL (diopters)</t>
  </si>
  <si>
    <t>Axis (degrees)</t>
  </si>
  <si>
    <t>Paired t-test (Slit Lamp vs Smart Camera)</t>
  </si>
  <si>
    <t>Mean Difference</t>
  </si>
  <si>
    <t>p-value (2-tailed)</t>
  </si>
  <si>
    <t>Interpretation</t>
  </si>
  <si>
    <t>Note: p-value uses Excel's paired-sample TTEST function. A value below 0.05 suggests the two devices give measurably different readings for that parameter, on average.</t>
  </si>
  <si>
    <t>Mean Comparison Chart</t>
  </si>
  <si>
    <t>Slit Lamp Mean</t>
  </si>
  <si>
    <t>Smart Camera Mean</t>
  </si>
  <si>
    <t>TECHNICAL / USABILITY COMPARISON</t>
  </si>
  <si>
    <t>"Positive" = Very Easy (Convenience), Satisfied (Accuracy), or Yes (all other rows). For "External Light Source", Yes means the device NEEDS an external light — a LOWER % is the better result for that one row.</t>
  </si>
  <si>
    <t>10 Usability Parameters</t>
  </si>
  <si>
    <t>Slit Positive n</t>
  </si>
  <si>
    <t>Slit Total</t>
  </si>
  <si>
    <t>Slit %</t>
  </si>
  <si>
    <t>Camera Positive n</t>
  </si>
  <si>
    <t>Camera Total</t>
  </si>
  <si>
    <t>Camera %</t>
  </si>
  <si>
    <t>STATISTICAL TESTS — SLIT LAMP vs SMART CAMERA</t>
  </si>
  <si>
    <t>1. McNemar Test — Examination Outcome (paired, binary)</t>
  </si>
  <si>
    <t>Tests whether the two devices disagree on Satisfactory/Unsatisfactory more than chance would predict.</t>
  </si>
  <si>
    <t>Camera: Satisfactory</t>
  </si>
  <si>
    <t>Camera: Unsatisfactory</t>
  </si>
  <si>
    <t>Slit: Satisfactory</t>
  </si>
  <si>
    <t>Slit: Unsatisfactory</t>
  </si>
  <si>
    <t>Discordant pairs (b, c):</t>
  </si>
  <si>
    <t>McNemar chi-square (continuity corrected):</t>
  </si>
  <si>
    <t>p-value:</t>
  </si>
  <si>
    <t>p &lt; 0.05 suggests the two devices disagree on examination outcome more often than expected by chance. Needs at least a few discordant pairs (b or c &gt; 0) to be meaningful.</t>
  </si>
  <si>
    <t>2. Cohen's Kappa — Agreement on Examination Outcome</t>
  </si>
  <si>
    <t>Measures how much the two devices agree, beyond what chance agreement alone would give.</t>
  </si>
  <si>
    <t>Total paired observations (n):</t>
  </si>
  <si>
    <t>Observed agreement (Po):</t>
  </si>
  <si>
    <t>Expected agreement (Pe):</t>
  </si>
  <si>
    <t>Cohen's Kappa:</t>
  </si>
  <si>
    <t>Rule of thumb: &lt;0 poor, 0.01-0.20 slight, 0.21-0.40 fair, 0.41-0.60 moderate, 0.61-0.80 substantial, 0.81-1.00 almost perfect agreement.</t>
  </si>
  <si>
    <t>3. Paired t-test — IOP (Slit Lamp vs Smart Camera)</t>
  </si>
  <si>
    <t>Mean difference (Slit − Camera):</t>
  </si>
  <si>
    <t>p-value (2-tailed, paired):</t>
  </si>
  <si>
    <t>Same test also appears on the 'Clinical Analysis' sheet for IOP, SPH, CYL and Axis together.</t>
  </si>
  <si>
    <t>4. Wilcoxon Signed-Rank Test &amp; Bland-Altman</t>
  </si>
  <si>
    <t>Excel has no built-in Wilcoxon signed-rank or Bland-Altman formula. If your data is not normally distributed and you need the Wilcoxon test, or a full Bland-Altman plot, export the 'Patient Data' sheet as CSV and run it through R, SPSS, or a statistics tool of your choice.</t>
  </si>
  <si>
    <t>DATA QUALITY REPORT</t>
  </si>
  <si>
    <t>Check</t>
  </si>
  <si>
    <t>Total records</t>
  </si>
  <si>
    <t>Rows sharing a duplicate Study ID</t>
  </si>
  <si>
    <t>Missing Study ID (row has a name but no ID)</t>
  </si>
  <si>
    <t>Missing Age (row has an ID but no age)</t>
  </si>
  <si>
    <t>Missing Diagnosis (row has an ID but no diagnosis)</t>
  </si>
  <si>
    <t>Missing/unrecorded Slit Lamp examination</t>
  </si>
  <si>
    <t>Missing/unrecorded Smart Camera examination</t>
  </si>
  <si>
    <t>Recommendation: resolve duplicate Study IDs and important missing values before running the statistical tests, so the paired comparisons stay 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</si>
</sst>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0.00;\-0.00"/>
    <numFmt numFmtId="167" formatCode="0.0%"/>
    <numFmt numFmtId="168" formatCode="0.000"/>
  </numFmts>
  <fonts count="16" x14ac:knownFonts="1">
    <font>
      <sz val="11"/>
      <color theme="1"/>
      <name val="Calibri"/>
      <family val="2"/>
      <charset val="1"/>
    </font>
    <font>
      <b/>
      <sz val="16"/>
      <color rgb="FFFFFFFF"/>
      <name val="Arial"/>
      <charset val="1"/>
    </font>
    <font>
      <b/>
      <sz val="12"/>
      <color rgb="FF1F4E78"/>
      <name val="Arial"/>
      <charset val="1"/>
    </font>
    <font>
      <sz val="11"/>
      <name val="Arial"/>
      <charset val="1"/>
    </font>
    <font>
      <b/>
      <sz val="11"/>
      <name val="Arial"/>
      <charset val="1"/>
    </font>
    <font>
      <b/>
      <sz val="14"/>
      <color rgb="FFFFFFFF"/>
      <name val="Arial"/>
      <charset val="1"/>
    </font>
    <font>
      <i/>
      <sz val="9"/>
      <color rgb="FF595959"/>
      <name val="Arial"/>
      <charset val="1"/>
    </font>
    <font>
      <b/>
      <sz val="11"/>
      <color rgb="FFFFFFFF"/>
      <name val="Arial"/>
      <charset val="1"/>
    </font>
    <font>
      <b/>
      <sz val="10"/>
      <name val="Arial"/>
      <charset val="1"/>
    </font>
    <font>
      <sz val="10"/>
      <name val="Arial"/>
      <charset val="1"/>
    </font>
    <font>
      <b/>
      <sz val="10"/>
      <color rgb="FF1F4E78"/>
      <name val="Arial"/>
      <charset val="1"/>
    </font>
    <font>
      <b/>
      <sz val="10"/>
      <color rgb="FFC00000"/>
      <name val="Arial"/>
      <charset val="1"/>
    </font>
    <font>
      <b/>
      <sz val="8"/>
      <color rgb="FFFFFFFF"/>
      <name val="Arial"/>
      <charset val="1"/>
    </font>
    <font>
      <b/>
      <sz val="10"/>
      <color rgb="FFFFFFFF"/>
      <name val="Arial"/>
      <charset val="1"/>
    </font>
    <font>
      <b/>
      <sz val="20"/>
      <color rgb="FFFFFFFF"/>
      <name val="Arial"/>
      <charset val="1"/>
    </font>
    <font>
      <b/>
      <sz val="9"/>
      <color rgb="FFFFFFFF"/>
      <name val="Arial"/>
      <charset val="1"/>
    </font>
  </fonts>
  <fills count="14">
    <fill>
      <patternFill patternType="none"/>
    </fill>
    <fill>
      <patternFill patternType="gray125"/>
    </fill>
    <fill>
      <patternFill patternType="solid">
        <fgColor rgb="FF1F4E78"/>
        <bgColor rgb="FF305496"/>
      </patternFill>
    </fill>
    <fill>
      <patternFill patternType="solid">
        <fgColor rgb="FF2E75B6"/>
        <bgColor rgb="FF4472C4"/>
      </patternFill>
    </fill>
    <fill>
      <patternFill patternType="solid">
        <fgColor rgb="FFFFF2CC"/>
        <bgColor rgb="FFFCE4D6"/>
      </patternFill>
    </fill>
    <fill>
      <patternFill patternType="solid">
        <fgColor rgb="FFDDEBF7"/>
        <bgColor rgb="FFE2EFDA"/>
      </patternFill>
    </fill>
    <fill>
      <patternFill patternType="solid">
        <fgColor rgb="FFFCE4D6"/>
        <bgColor rgb="FFFFF2CC"/>
      </patternFill>
    </fill>
    <fill>
      <patternFill patternType="solid">
        <fgColor rgb="FF808080"/>
        <bgColor rgb="FF878787"/>
      </patternFill>
    </fill>
    <fill>
      <patternFill patternType="solid">
        <fgColor rgb="FFE2EFDA"/>
        <bgColor rgb="FFDDEBF7"/>
      </patternFill>
    </fill>
    <fill>
      <patternFill patternType="solid">
        <fgColor rgb="FF305496"/>
        <bgColor rgb="FF1F4E78"/>
      </patternFill>
    </fill>
    <fill>
      <patternFill patternType="solid">
        <fgColor rgb="FF4472C4"/>
        <bgColor rgb="FF2E75B6"/>
      </patternFill>
    </fill>
    <fill>
      <patternFill patternType="solid">
        <fgColor rgb="FF548235"/>
        <bgColor rgb="FF595959"/>
      </patternFill>
    </fill>
    <fill>
      <patternFill patternType="solid">
        <fgColor rgb="FFBF8F00"/>
        <bgColor rgb="FFFF6600"/>
      </patternFill>
    </fill>
    <fill>
      <patternFill patternType="solid">
        <fgColor rgb="FF7030A0"/>
        <bgColor rgb="FF80008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8">
    <xf numFmtId="0" fontId="0" fillId="0" borderId="0" xfId="0"/>
    <xf numFmtId="0" fontId="6" fillId="0" borderId="0" xfId="0" applyFont="1"/>
    <xf numFmtId="167" fontId="14" fillId="13" borderId="0" xfId="0" applyNumberFormat="1" applyFont="1" applyFill="1" applyAlignment="1">
      <alignment horizontal="center" vertical="center"/>
    </xf>
    <xf numFmtId="167" fontId="14" fillId="12" borderId="0" xfId="0" applyNumberFormat="1" applyFont="1" applyFill="1" applyAlignment="1">
      <alignment horizontal="center" vertical="center"/>
    </xf>
    <xf numFmtId="165" fontId="14" fillId="11" borderId="0" xfId="0" applyNumberFormat="1" applyFont="1" applyFill="1" applyAlignment="1">
      <alignment horizontal="center" vertical="center"/>
    </xf>
    <xf numFmtId="1" fontId="14" fillId="10" borderId="0" xfId="0" applyNumberFormat="1" applyFont="1" applyFill="1" applyAlignment="1">
      <alignment horizontal="center" vertical="center"/>
    </xf>
    <xf numFmtId="0" fontId="13" fillId="13" borderId="0" xfId="0" applyFont="1" applyFill="1" applyAlignment="1">
      <alignment horizontal="center" vertical="center" wrapText="1"/>
    </xf>
    <xf numFmtId="0" fontId="13" fillId="12" borderId="0" xfId="0" applyFont="1" applyFill="1" applyAlignment="1">
      <alignment horizontal="center" vertical="center" wrapText="1"/>
    </xf>
    <xf numFmtId="0" fontId="13" fillId="11" borderId="0" xfId="0" applyFont="1" applyFill="1" applyAlignment="1">
      <alignment horizontal="center" vertical="center" wrapText="1"/>
    </xf>
    <xf numFmtId="0" fontId="13" fillId="10" borderId="0" xfId="0" applyFont="1" applyFill="1" applyAlignment="1">
      <alignment horizontal="center" vertical="center" wrapText="1"/>
    </xf>
    <xf numFmtId="0" fontId="11" fillId="0" borderId="0" xfId="0" applyFont="1"/>
    <xf numFmtId="0" fontId="7" fillId="3" borderId="0" xfId="0" applyFont="1" applyFill="1" applyAlignment="1">
      <alignment vertical="center" indent="1"/>
    </xf>
    <xf numFmtId="0" fontId="6" fillId="0" borderId="0" xfId="0" applyFont="1" applyAlignment="1">
      <alignment vertical="top" wrapText="1"/>
    </xf>
    <xf numFmtId="0" fontId="5" fillId="2" borderId="0" xfId="0" applyFont="1" applyFill="1" applyAlignment="1">
      <alignment vertical="center" indent="1"/>
    </xf>
    <xf numFmtId="0" fontId="1" fillId="2" borderId="0" xfId="0" applyFont="1" applyFill="1" applyAlignment="1">
      <alignment vertical="center" indent="1"/>
    </xf>
    <xf numFmtId="0" fontId="2" fillId="0" borderId="0" xfId="0" applyFont="1"/>
    <xf numFmtId="0" fontId="3" fillId="0" borderId="0" xfId="0" applyFont="1" applyAlignment="1">
      <alignment vertical="top" wrapText="1"/>
    </xf>
    <xf numFmtId="0" fontId="4" fillId="0" borderId="0" xfId="0" applyFont="1"/>
    <xf numFmtId="0" fontId="8" fillId="0" borderId="0" xfId="0" applyFont="1" applyAlignment="1">
      <alignment vertical="center"/>
    </xf>
    <xf numFmtId="0" fontId="9" fillId="4" borderId="1" xfId="0" applyFont="1" applyFill="1" applyBorder="1" applyAlignment="1">
      <alignment vertical="center"/>
    </xf>
    <xf numFmtId="0" fontId="6" fillId="0" borderId="0" xfId="0" applyFont="1" applyAlignment="1">
      <alignment vertical="center" wrapText="1"/>
    </xf>
    <xf numFmtId="164" fontId="9" fillId="4" borderId="1" xfId="0" applyNumberFormat="1" applyFont="1" applyFill="1" applyBorder="1" applyAlignment="1">
      <alignment vertical="center"/>
    </xf>
    <xf numFmtId="0" fontId="10" fillId="5" borderId="0" xfId="0" applyFont="1" applyFill="1" applyAlignment="1">
      <alignment horizontal="center"/>
    </xf>
    <xf numFmtId="0" fontId="10" fillId="6" borderId="0" xfId="0" applyFont="1" applyFill="1" applyAlignment="1">
      <alignment horizontal="center"/>
    </xf>
    <xf numFmtId="0" fontId="12" fillId="7" borderId="0" xfId="0" applyFont="1" applyFill="1" applyAlignment="1">
      <alignment horizontal="center" wrapText="1"/>
    </xf>
    <xf numFmtId="0" fontId="9" fillId="8" borderId="1" xfId="0" applyFont="1" applyFill="1" applyBorder="1"/>
    <xf numFmtId="1" fontId="9" fillId="8" borderId="1" xfId="0" applyNumberFormat="1" applyFont="1" applyFill="1" applyBorder="1"/>
    <xf numFmtId="164" fontId="9" fillId="8" borderId="1" xfId="0" applyNumberFormat="1" applyFont="1" applyFill="1" applyBorder="1"/>
    <xf numFmtId="165" fontId="9" fillId="8" borderId="1" xfId="0" applyNumberFormat="1" applyFont="1" applyFill="1" applyBorder="1"/>
    <xf numFmtId="166" fontId="9" fillId="8" borderId="1" xfId="0" applyNumberFormat="1" applyFont="1" applyFill="1" applyBorder="1"/>
    <xf numFmtId="0" fontId="13" fillId="9" borderId="1" xfId="0" applyFont="1" applyFill="1" applyBorder="1" applyAlignment="1">
      <alignment horizontal="center" vertical="center" wrapText="1"/>
    </xf>
    <xf numFmtId="0" fontId="9" fillId="0" borderId="1" xfId="0" applyFont="1" applyBorder="1"/>
    <xf numFmtId="1" fontId="9" fillId="0" borderId="1" xfId="0" applyNumberFormat="1" applyFont="1" applyBorder="1"/>
    <xf numFmtId="164" fontId="9" fillId="0" borderId="1" xfId="0" applyNumberFormat="1" applyFont="1" applyBorder="1"/>
    <xf numFmtId="165" fontId="9" fillId="0" borderId="1" xfId="0" applyNumberFormat="1" applyFont="1" applyBorder="1"/>
    <xf numFmtId="166" fontId="9" fillId="0" borderId="1" xfId="0" applyNumberFormat="1" applyFont="1" applyBorder="1"/>
    <xf numFmtId="0" fontId="13" fillId="9" borderId="1" xfId="0" applyFont="1" applyFill="1" applyBorder="1" applyAlignment="1">
      <alignment horizontal="center"/>
    </xf>
    <xf numFmtId="0" fontId="13" fillId="9" borderId="1" xfId="0" applyFont="1" applyFill="1" applyBorder="1" applyAlignment="1">
      <alignment horizontal="center" wrapText="1"/>
    </xf>
    <xf numFmtId="168" fontId="9" fillId="0" borderId="1" xfId="0" applyNumberFormat="1" applyFont="1" applyBorder="1"/>
    <xf numFmtId="0" fontId="15" fillId="9" borderId="1" xfId="0" applyFont="1" applyFill="1" applyBorder="1" applyAlignment="1">
      <alignment horizontal="center" wrapText="1"/>
    </xf>
    <xf numFmtId="167" fontId="9" fillId="0" borderId="1" xfId="0" applyNumberFormat="1" applyFont="1" applyBorder="1"/>
    <xf numFmtId="0" fontId="8" fillId="0" borderId="0" xfId="0" applyFont="1"/>
    <xf numFmtId="168" fontId="0" fillId="0" borderId="0" xfId="0" applyNumberFormat="1"/>
    <xf numFmtId="168" fontId="2" fillId="8" borderId="0" xfId="0" applyNumberFormat="1" applyFont="1" applyFill="1"/>
    <xf numFmtId="2" fontId="0" fillId="0" borderId="0" xfId="0" applyNumberFormat="1"/>
    <xf numFmtId="0" fontId="13" fillId="9" borderId="1" xfId="0" applyFont="1" applyFill="1" applyBorder="1"/>
    <xf numFmtId="0" fontId="9" fillId="0" borderId="1" xfId="0" applyFont="1" applyBorder="1" applyAlignment="1">
      <alignment horizontal="center"/>
    </xf>
    <xf numFmtId="0" fontId="6" fillId="0" borderId="0" xfId="0" applyFont="1" applyAlignment="1">
      <alignment wrapText="1"/>
    </xf>
  </cellXfs>
  <cellStyles count="1">
    <cellStyle name="Normal" xfId="0" builtinId="0"/>
  </cellStyles>
  <dxfs count="2">
    <dxf>
      <font>
        <sz val="10"/>
        <color rgb="FF006100"/>
        <name val="Arial"/>
        <charset val="1"/>
      </font>
      <fill>
        <patternFill>
          <bgColor rgb="FFC6EF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7B7B7"/>
      <rgbColor rgb="FF808080"/>
      <rgbColor rgb="FF9999FF"/>
      <rgbColor rgb="FF7030A0"/>
      <rgbColor rgb="FFFFF2CC"/>
      <rgbColor rgb="FFDDEBF7"/>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FC7CE"/>
      <rgbColor rgb="FF4472C4"/>
      <rgbColor rgb="FF33CCCC"/>
      <rgbColor rgb="FF9BBB59"/>
      <rgbColor rgb="FFFFCC00"/>
      <rgbColor rgb="FFBF8F00"/>
      <rgbColor rgb="FFFF6600"/>
      <rgbColor rgb="FF8064A2"/>
      <rgbColor rgb="FF878787"/>
      <rgbColor rgb="FF1F4E78"/>
      <rgbColor rgb="FF4F81BD"/>
      <rgbColor rgb="FF003300"/>
      <rgbColor rgb="FF333300"/>
      <rgbColor rgb="FF993300"/>
      <rgbColor rgb="FFC0504D"/>
      <rgbColor rgb="FF305496"/>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Examination Outcome by Device</a:t>
            </a:r>
          </a:p>
        </c:rich>
      </c:tx>
      <c:overlay val="0"/>
      <c:spPr>
        <a:noFill/>
        <a:ln w="0">
          <a:noFill/>
        </a:ln>
      </c:spPr>
    </c:title>
    <c:autoTitleDeleted val="0"/>
    <c:plotArea>
      <c:layout/>
      <c:barChart>
        <c:barDir val="col"/>
        <c:grouping val="clustered"/>
        <c:varyColors val="0"/>
        <c:ser>
          <c:idx val="0"/>
          <c:order val="0"/>
          <c:tx>
            <c:strRef>
              <c:f>Dashboard!$B$8</c:f>
              <c:strCache>
                <c:ptCount val="1"/>
                <c:pt idx="0">
                  <c:v>Slit Lamp</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Dashboard!$A$9:$A$10</c:f>
              <c:strCache>
                <c:ptCount val="2"/>
                <c:pt idx="0">
                  <c:v>Satisfactory</c:v>
                </c:pt>
                <c:pt idx="1">
                  <c:v>Unsatisfactory</c:v>
                </c:pt>
              </c:strCache>
            </c:strRef>
          </c:cat>
          <c:val>
            <c:numRef>
              <c:f>Dashboard!$B$9:$B$10</c:f>
              <c:numCache>
                <c:formatCode>General</c:formatCode>
                <c:ptCount val="2"/>
                <c:pt idx="0">
                  <c:v>25</c:v>
                </c:pt>
                <c:pt idx="1">
                  <c:v>11</c:v>
                </c:pt>
              </c:numCache>
            </c:numRef>
          </c:val>
          <c:extLst>
            <c:ext xmlns:c16="http://schemas.microsoft.com/office/drawing/2014/chart" uri="{C3380CC4-5D6E-409C-BE32-E72D297353CC}">
              <c16:uniqueId val="{00000000-BEBA-43CB-BFF0-1561841FD17A}"/>
            </c:ext>
          </c:extLst>
        </c:ser>
        <c:ser>
          <c:idx val="1"/>
          <c:order val="1"/>
          <c:tx>
            <c:strRef>
              <c:f>Dashboard!$C$8</c:f>
              <c:strCache>
                <c:ptCount val="1"/>
                <c:pt idx="0">
                  <c:v>Smart Camera</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Dashboard!$A$9:$A$10</c:f>
              <c:strCache>
                <c:ptCount val="2"/>
                <c:pt idx="0">
                  <c:v>Satisfactory</c:v>
                </c:pt>
                <c:pt idx="1">
                  <c:v>Unsatisfactory</c:v>
                </c:pt>
              </c:strCache>
            </c:strRef>
          </c:cat>
          <c:val>
            <c:numRef>
              <c:f>Dashboard!$C$9:$C$10</c:f>
              <c:numCache>
                <c:formatCode>General</c:formatCode>
                <c:ptCount val="2"/>
                <c:pt idx="0">
                  <c:v>21</c:v>
                </c:pt>
                <c:pt idx="1">
                  <c:v>18</c:v>
                </c:pt>
              </c:numCache>
            </c:numRef>
          </c:val>
          <c:extLst>
            <c:ext xmlns:c16="http://schemas.microsoft.com/office/drawing/2014/chart" uri="{C3380CC4-5D6E-409C-BE32-E72D297353CC}">
              <c16:uniqueId val="{00000001-BEBA-43CB-BFF0-1561841FD17A}"/>
            </c:ext>
          </c:extLst>
        </c:ser>
        <c:dLbls>
          <c:showLegendKey val="0"/>
          <c:showVal val="0"/>
          <c:showCatName val="0"/>
          <c:showSerName val="0"/>
          <c:showPercent val="0"/>
          <c:showBubbleSize val="0"/>
        </c:dLbls>
        <c:gapWidth val="150"/>
        <c:axId val="82028403"/>
        <c:axId val="98863035"/>
      </c:barChart>
      <c:catAx>
        <c:axId val="8202840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863035"/>
        <c:crosses val="autoZero"/>
        <c:auto val="1"/>
        <c:lblAlgn val="ctr"/>
        <c:lblOffset val="100"/>
        <c:noMultiLvlLbl val="0"/>
      </c:catAx>
      <c:valAx>
        <c:axId val="9886303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patients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02840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Gender Distribution</a:t>
            </a:r>
          </a:p>
        </c:rich>
      </c:tx>
      <c:overlay val="0"/>
      <c:spPr>
        <a:noFill/>
        <a:ln w="0">
          <a:noFill/>
        </a:ln>
      </c:spPr>
    </c:title>
    <c:autoTitleDeleted val="0"/>
    <c:plotArea>
      <c:layout/>
      <c:pieChart>
        <c:varyColors val="1"/>
        <c:ser>
          <c:idx val="0"/>
          <c:order val="0"/>
          <c:tx>
            <c:strRef>
              <c:f>Dashboard!$B$13</c:f>
              <c:strCache>
                <c:ptCount val="1"/>
                <c:pt idx="0">
                  <c:v>Count</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1D47-45D9-870F-257C7044D27A}"/>
              </c:ext>
            </c:extLst>
          </c:dPt>
          <c:dPt>
            <c:idx val="1"/>
            <c:bubble3D val="0"/>
            <c:spPr>
              <a:solidFill>
                <a:srgbClr val="C0504D"/>
              </a:solidFill>
              <a:ln w="0">
                <a:noFill/>
              </a:ln>
            </c:spPr>
            <c:extLst>
              <c:ext xmlns:c16="http://schemas.microsoft.com/office/drawing/2014/chart" uri="{C3380CC4-5D6E-409C-BE32-E72D297353CC}">
                <c16:uniqueId val="{00000003-1D47-45D9-870F-257C7044D27A}"/>
              </c:ext>
            </c:extLst>
          </c:dPt>
          <c:dPt>
            <c:idx val="2"/>
            <c:bubble3D val="0"/>
            <c:spPr>
              <a:solidFill>
                <a:srgbClr val="9BBB59"/>
              </a:solidFill>
              <a:ln w="0">
                <a:noFill/>
              </a:ln>
            </c:spPr>
            <c:extLst>
              <c:ext xmlns:c16="http://schemas.microsoft.com/office/drawing/2014/chart" uri="{C3380CC4-5D6E-409C-BE32-E72D297353CC}">
                <c16:uniqueId val="{00000005-1D47-45D9-870F-257C7044D27A}"/>
              </c:ext>
            </c:extLst>
          </c:dPt>
          <c:dPt>
            <c:idx val="3"/>
            <c:bubble3D val="0"/>
            <c:spPr>
              <a:solidFill>
                <a:srgbClr val="8064A2"/>
              </a:solidFill>
              <a:ln w="0">
                <a:noFill/>
              </a:ln>
            </c:spPr>
            <c:extLst>
              <c:ext xmlns:c16="http://schemas.microsoft.com/office/drawing/2014/chart" uri="{C3380CC4-5D6E-409C-BE32-E72D297353CC}">
                <c16:uniqueId val="{00000007-1D47-45D9-870F-257C7044D27A}"/>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1-1D47-45D9-870F-257C7044D27A}"/>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3-1D47-45D9-870F-257C7044D27A}"/>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5-1D47-45D9-870F-257C7044D27A}"/>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7-1D47-45D9-870F-257C7044D27A}"/>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Dashboard!$A$14:$A$17</c:f>
              <c:strCache>
                <c:ptCount val="4"/>
                <c:pt idx="0">
                  <c:v>Male</c:v>
                </c:pt>
                <c:pt idx="1">
                  <c:v>Female</c:v>
                </c:pt>
                <c:pt idx="2">
                  <c:v>Other</c:v>
                </c:pt>
                <c:pt idx="3">
                  <c:v>Not recorded</c:v>
                </c:pt>
              </c:strCache>
            </c:strRef>
          </c:cat>
          <c:val>
            <c:numRef>
              <c:f>Dashboard!$B$14:$B$17</c:f>
              <c:numCache>
                <c:formatCode>General</c:formatCode>
                <c:ptCount val="4"/>
                <c:pt idx="0">
                  <c:v>20</c:v>
                </c:pt>
                <c:pt idx="1">
                  <c:v>28</c:v>
                </c:pt>
                <c:pt idx="2">
                  <c:v>0</c:v>
                </c:pt>
                <c:pt idx="3">
                  <c:v>3</c:v>
                </c:pt>
              </c:numCache>
            </c:numRef>
          </c:val>
          <c:extLst>
            <c:ext xmlns:c16="http://schemas.microsoft.com/office/drawing/2014/chart" uri="{C3380CC4-5D6E-409C-BE32-E72D297353CC}">
              <c16:uniqueId val="{00000008-1D47-45D9-870F-257C7044D27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Age Distribution</a:t>
            </a:r>
          </a:p>
        </c:rich>
      </c:tx>
      <c:overlay val="0"/>
      <c:spPr>
        <a:noFill/>
        <a:ln w="0">
          <a:noFill/>
        </a:ln>
      </c:spPr>
    </c:title>
    <c:autoTitleDeleted val="0"/>
    <c:plotArea>
      <c:layout/>
      <c:barChart>
        <c:barDir val="col"/>
        <c:grouping val="clustered"/>
        <c:varyColors val="0"/>
        <c:ser>
          <c:idx val="0"/>
          <c:order val="0"/>
          <c:tx>
            <c:strRef>
              <c:f>Dashboard!$B$20</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Dashboard!$A$21:$A$30</c:f>
              <c:strCache>
                <c:ptCount val="10"/>
                <c:pt idx="0">
                  <c:v>0-10</c:v>
                </c:pt>
                <c:pt idx="1">
                  <c:v>11-20</c:v>
                </c:pt>
                <c:pt idx="2">
                  <c:v>21-30</c:v>
                </c:pt>
                <c:pt idx="3">
                  <c:v>31-40</c:v>
                </c:pt>
                <c:pt idx="4">
                  <c:v>41-50</c:v>
                </c:pt>
                <c:pt idx="5">
                  <c:v>51-60</c:v>
                </c:pt>
                <c:pt idx="6">
                  <c:v>61-70</c:v>
                </c:pt>
                <c:pt idx="7">
                  <c:v>71-80</c:v>
                </c:pt>
                <c:pt idx="8">
                  <c:v>81-90</c:v>
                </c:pt>
                <c:pt idx="9">
                  <c:v>91+</c:v>
                </c:pt>
              </c:strCache>
            </c:strRef>
          </c:cat>
          <c:val>
            <c:numRef>
              <c:f>Dashboard!$B$21:$B$30</c:f>
              <c:numCache>
                <c:formatCode>General</c:formatCode>
                <c:ptCount val="10"/>
                <c:pt idx="0">
                  <c:v>1</c:v>
                </c:pt>
                <c:pt idx="1">
                  <c:v>3</c:v>
                </c:pt>
                <c:pt idx="2">
                  <c:v>12</c:v>
                </c:pt>
                <c:pt idx="3">
                  <c:v>15</c:v>
                </c:pt>
                <c:pt idx="4">
                  <c:v>10</c:v>
                </c:pt>
                <c:pt idx="5">
                  <c:v>9</c:v>
                </c:pt>
                <c:pt idx="6">
                  <c:v>1</c:v>
                </c:pt>
                <c:pt idx="7">
                  <c:v>0</c:v>
                </c:pt>
                <c:pt idx="8">
                  <c:v>0</c:v>
                </c:pt>
                <c:pt idx="9">
                  <c:v>0</c:v>
                </c:pt>
              </c:numCache>
            </c:numRef>
          </c:val>
          <c:extLst>
            <c:ext xmlns:c16="http://schemas.microsoft.com/office/drawing/2014/chart" uri="{C3380CC4-5D6E-409C-BE32-E72D297353CC}">
              <c16:uniqueId val="{00000000-F706-4058-8149-4FDF987AFDC7}"/>
            </c:ext>
          </c:extLst>
        </c:ser>
        <c:dLbls>
          <c:showLegendKey val="0"/>
          <c:showVal val="0"/>
          <c:showCatName val="0"/>
          <c:showSerName val="0"/>
          <c:showPercent val="0"/>
          <c:showBubbleSize val="0"/>
        </c:dLbls>
        <c:gapWidth val="150"/>
        <c:axId val="11002616"/>
        <c:axId val="62667994"/>
      </c:barChart>
      <c:catAx>
        <c:axId val="1100261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667994"/>
        <c:crosses val="autoZero"/>
        <c:auto val="1"/>
        <c:lblAlgn val="ctr"/>
        <c:lblOffset val="100"/>
        <c:noMultiLvlLbl val="0"/>
      </c:catAx>
      <c:valAx>
        <c:axId val="6266799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participants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00261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Diagnosis Distribution</a:t>
            </a:r>
          </a:p>
        </c:rich>
      </c:tx>
      <c:overlay val="0"/>
      <c:spPr>
        <a:noFill/>
        <a:ln w="0">
          <a:noFill/>
        </a:ln>
      </c:spPr>
    </c:title>
    <c:autoTitleDeleted val="0"/>
    <c:plotArea>
      <c:layout/>
      <c:barChart>
        <c:barDir val="bar"/>
        <c:grouping val="clustered"/>
        <c:varyColors val="0"/>
        <c:ser>
          <c:idx val="0"/>
          <c:order val="0"/>
          <c:tx>
            <c:strRef>
              <c:f>Dashboard!$B$33</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Dashboard!$A$34:$A$46</c:f>
              <c:strCache>
                <c:ptCount val="13"/>
                <c:pt idx="0">
                  <c:v>Refractive Error</c:v>
                </c:pt>
                <c:pt idx="1">
                  <c:v>Cataract</c:v>
                </c:pt>
                <c:pt idx="2">
                  <c:v>Glaucoma suspect</c:v>
                </c:pt>
                <c:pt idx="3">
                  <c:v>Conjunctivitis</c:v>
                </c:pt>
                <c:pt idx="4">
                  <c:v>Strabismus</c:v>
                </c:pt>
                <c:pt idx="5">
                  <c:v>Diabetic Retinopathy</c:v>
                </c:pt>
                <c:pt idx="6">
                  <c:v>Pterygium</c:v>
                </c:pt>
                <c:pt idx="7">
                  <c:v>Normal Examination</c:v>
                </c:pt>
                <c:pt idx="8">
                  <c:v>Dry Eye Disease</c:v>
                </c:pt>
                <c:pt idx="9">
                  <c:v>Amblyopia</c:v>
                </c:pt>
                <c:pt idx="10">
                  <c:v>Allergic Conjunctivitis</c:v>
                </c:pt>
                <c:pt idx="11">
                  <c:v>Corneal Opacity</c:v>
                </c:pt>
                <c:pt idx="12">
                  <c:v>Other / not listed above</c:v>
                </c:pt>
              </c:strCache>
            </c:strRef>
          </c:cat>
          <c:val>
            <c:numRef>
              <c:f>Dashboard!$B$34:$B$46</c:f>
              <c:numCache>
                <c:formatCode>General</c:formatCode>
                <c:ptCount val="13"/>
                <c:pt idx="0">
                  <c:v>6</c:v>
                </c:pt>
                <c:pt idx="1">
                  <c:v>5</c:v>
                </c:pt>
                <c:pt idx="2">
                  <c:v>1</c:v>
                </c:pt>
                <c:pt idx="3">
                  <c:v>3</c:v>
                </c:pt>
                <c:pt idx="4">
                  <c:v>4</c:v>
                </c:pt>
                <c:pt idx="5">
                  <c:v>0</c:v>
                </c:pt>
                <c:pt idx="6">
                  <c:v>6</c:v>
                </c:pt>
                <c:pt idx="7">
                  <c:v>5</c:v>
                </c:pt>
                <c:pt idx="8">
                  <c:v>3</c:v>
                </c:pt>
                <c:pt idx="9">
                  <c:v>5</c:v>
                </c:pt>
                <c:pt idx="10">
                  <c:v>7</c:v>
                </c:pt>
                <c:pt idx="11">
                  <c:v>6</c:v>
                </c:pt>
                <c:pt idx="12">
                  <c:v>0</c:v>
                </c:pt>
              </c:numCache>
            </c:numRef>
          </c:val>
          <c:extLst>
            <c:ext xmlns:c16="http://schemas.microsoft.com/office/drawing/2014/chart" uri="{C3380CC4-5D6E-409C-BE32-E72D297353CC}">
              <c16:uniqueId val="{00000000-10A9-433B-BA52-670A4E0B5684}"/>
            </c:ext>
          </c:extLst>
        </c:ser>
        <c:dLbls>
          <c:showLegendKey val="0"/>
          <c:showVal val="0"/>
          <c:showCatName val="0"/>
          <c:showSerName val="0"/>
          <c:showPercent val="0"/>
          <c:showBubbleSize val="0"/>
        </c:dLbls>
        <c:gapWidth val="150"/>
        <c:axId val="74983757"/>
        <c:axId val="21275314"/>
      </c:barChart>
      <c:catAx>
        <c:axId val="74983757"/>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patients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275314"/>
        <c:crosses val="autoZero"/>
        <c:auto val="1"/>
        <c:lblAlgn val="ctr"/>
        <c:lblOffset val="100"/>
        <c:noMultiLvlLbl val="0"/>
      </c:catAx>
      <c:valAx>
        <c:axId val="21275314"/>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9837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Mean Value by Device</a:t>
            </a:r>
          </a:p>
        </c:rich>
      </c:tx>
      <c:overlay val="0"/>
      <c:spPr>
        <a:noFill/>
        <a:ln w="0">
          <a:noFill/>
        </a:ln>
      </c:spPr>
    </c:title>
    <c:autoTitleDeleted val="0"/>
    <c:plotArea>
      <c:layout/>
      <c:barChart>
        <c:barDir val="col"/>
        <c:grouping val="clustered"/>
        <c:varyColors val="0"/>
        <c:ser>
          <c:idx val="0"/>
          <c:order val="0"/>
          <c:tx>
            <c:strRef>
              <c:f>'Clinical Analysis'!$B$24</c:f>
              <c:strCache>
                <c:ptCount val="1"/>
                <c:pt idx="0">
                  <c:v>Slit Lamp Mean</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'Clinical Analysis'!$A$25:$A$28</c:f>
              <c:strCache>
                <c:ptCount val="4"/>
                <c:pt idx="0">
                  <c:v>IOP (mmHg)</c:v>
                </c:pt>
                <c:pt idx="1">
                  <c:v>SPH (diopters)</c:v>
                </c:pt>
                <c:pt idx="2">
                  <c:v>CYL (diopters)</c:v>
                </c:pt>
                <c:pt idx="3">
                  <c:v>Axis (degrees)</c:v>
                </c:pt>
              </c:strCache>
            </c:strRef>
          </c:cat>
          <c:val>
            <c:numRef>
              <c:f>'Clinical Analysis'!$B$25:$B$28</c:f>
              <c:numCache>
                <c:formatCode>\+0.00;\-0.00</c:formatCode>
                <c:ptCount val="4"/>
                <c:pt idx="0" formatCode="0.0">
                  <c:v>16.284313725490197</c:v>
                </c:pt>
                <c:pt idx="1">
                  <c:v>-0.76058823529411768</c:v>
                </c:pt>
                <c:pt idx="2">
                  <c:v>-1.0941176470588234</c:v>
                </c:pt>
                <c:pt idx="3" formatCode="0">
                  <c:v>90.098039215686271</c:v>
                </c:pt>
              </c:numCache>
            </c:numRef>
          </c:val>
          <c:extLst>
            <c:ext xmlns:c16="http://schemas.microsoft.com/office/drawing/2014/chart" uri="{C3380CC4-5D6E-409C-BE32-E72D297353CC}">
              <c16:uniqueId val="{00000000-7830-4B17-AB9F-8ACD41C327E3}"/>
            </c:ext>
          </c:extLst>
        </c:ser>
        <c:ser>
          <c:idx val="1"/>
          <c:order val="1"/>
          <c:tx>
            <c:strRef>
              <c:f>'Clinical Analysis'!$C$24</c:f>
              <c:strCache>
                <c:ptCount val="1"/>
                <c:pt idx="0">
                  <c:v>Smart Camera Mean</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'Clinical Analysis'!$A$25:$A$28</c:f>
              <c:strCache>
                <c:ptCount val="4"/>
                <c:pt idx="0">
                  <c:v>IOP (mmHg)</c:v>
                </c:pt>
                <c:pt idx="1">
                  <c:v>SPH (diopters)</c:v>
                </c:pt>
                <c:pt idx="2">
                  <c:v>CYL (diopters)</c:v>
                </c:pt>
                <c:pt idx="3">
                  <c:v>Axis (degrees)</c:v>
                </c:pt>
              </c:strCache>
            </c:strRef>
          </c:cat>
          <c:val>
            <c:numRef>
              <c:f>'Clinical Analysis'!$C$25:$C$28</c:f>
              <c:numCache>
                <c:formatCode>\+0.00;\-0.00</c:formatCode>
                <c:ptCount val="4"/>
                <c:pt idx="0" formatCode="0.0">
                  <c:v>16.576470588235299</c:v>
                </c:pt>
                <c:pt idx="1">
                  <c:v>-0.78882352941176448</c:v>
                </c:pt>
                <c:pt idx="2">
                  <c:v>-1.1505882352941177</c:v>
                </c:pt>
                <c:pt idx="3" formatCode="0">
                  <c:v>90.313725490196077</c:v>
                </c:pt>
              </c:numCache>
            </c:numRef>
          </c:val>
          <c:extLst>
            <c:ext xmlns:c16="http://schemas.microsoft.com/office/drawing/2014/chart" uri="{C3380CC4-5D6E-409C-BE32-E72D297353CC}">
              <c16:uniqueId val="{00000001-7830-4B17-AB9F-8ACD41C327E3}"/>
            </c:ext>
          </c:extLst>
        </c:ser>
        <c:dLbls>
          <c:showLegendKey val="0"/>
          <c:showVal val="0"/>
          <c:showCatName val="0"/>
          <c:showSerName val="0"/>
          <c:showPercent val="0"/>
          <c:showBubbleSize val="0"/>
        </c:dLbls>
        <c:gapWidth val="150"/>
        <c:axId val="48452242"/>
        <c:axId val="16301656"/>
      </c:barChart>
      <c:catAx>
        <c:axId val="4845224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301656"/>
        <c:crosses val="autoZero"/>
        <c:auto val="1"/>
        <c:lblAlgn val="ctr"/>
        <c:lblOffset val="100"/>
        <c:noMultiLvlLbl val="0"/>
      </c:catAx>
      <c:valAx>
        <c:axId val="1630165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4522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Positive Response % — Slit Lamp vs Smart Camera</a:t>
            </a:r>
          </a:p>
        </c:rich>
      </c:tx>
      <c:overlay val="0"/>
      <c:spPr>
        <a:noFill/>
        <a:ln w="0">
          <a:noFill/>
        </a:ln>
      </c:spPr>
    </c:title>
    <c:autoTitleDeleted val="0"/>
    <c:plotArea>
      <c:layout/>
      <c:barChart>
        <c:barDir val="bar"/>
        <c:grouping val="clustered"/>
        <c:varyColors val="0"/>
        <c:ser>
          <c:idx val="0"/>
          <c:order val="0"/>
          <c:tx>
            <c:strRef>
              <c:f>'Technical Comparison'!$D$5</c:f>
              <c:strCache>
                <c:ptCount val="1"/>
                <c:pt idx="0">
                  <c:v>Slit %</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'Technical Comparison'!$A$6:$A$15</c:f>
              <c:strCache>
                <c:ptCount val="10"/>
                <c:pt idx="0">
                  <c:v>1. Convenience / Ease</c:v>
                </c:pt>
                <c:pt idx="1">
                  <c:v>2. Accuracy &amp; Clarity</c:v>
                </c:pt>
                <c:pt idx="2">
                  <c:v>3. Time Efficiency</c:v>
                </c:pt>
                <c:pt idx="3">
                  <c:v>4. Training &amp; Learning Curve</c:v>
                </c:pt>
                <c:pt idx="4">
                  <c:v>5. External Light Source</c:v>
                </c:pt>
                <c:pt idx="5">
                  <c:v>6. Portability</c:v>
                </c:pt>
                <c:pt idx="6">
                  <c:v>7. Recording &amp; Storage</c:v>
                </c:pt>
                <c:pt idx="7">
                  <c:v>8. Clinical Examination</c:v>
                </c:pt>
                <c:pt idx="8">
                  <c:v>9. Resolution</c:v>
                </c:pt>
                <c:pt idx="9">
                  <c:v>10. Field of View</c:v>
                </c:pt>
              </c:strCache>
            </c:strRef>
          </c:cat>
          <c:val>
            <c:numRef>
              <c:f>'Technical Comparison'!$D$6:$D$15</c:f>
              <c:numCache>
                <c:formatCode>0.0%</c:formatCode>
                <c:ptCount val="10"/>
                <c:pt idx="0">
                  <c:v>0.21568627450980393</c:v>
                </c:pt>
                <c:pt idx="1">
                  <c:v>0.78431372549019607</c:v>
                </c:pt>
                <c:pt idx="2">
                  <c:v>0.4375</c:v>
                </c:pt>
                <c:pt idx="3">
                  <c:v>0.46938775510204084</c:v>
                </c:pt>
                <c:pt idx="4">
                  <c:v>0.8936170212765957</c:v>
                </c:pt>
                <c:pt idx="5">
                  <c:v>9.0909090909090912E-2</c:v>
                </c:pt>
                <c:pt idx="6">
                  <c:v>0.16326530612244897</c:v>
                </c:pt>
                <c:pt idx="7">
                  <c:v>0.94117647058823528</c:v>
                </c:pt>
                <c:pt idx="8">
                  <c:v>0.87234042553191493</c:v>
                </c:pt>
                <c:pt idx="9">
                  <c:v>0.84313725490196079</c:v>
                </c:pt>
              </c:numCache>
            </c:numRef>
          </c:val>
          <c:extLst>
            <c:ext xmlns:c16="http://schemas.microsoft.com/office/drawing/2014/chart" uri="{C3380CC4-5D6E-409C-BE32-E72D297353CC}">
              <c16:uniqueId val="{00000000-7C2F-487F-A060-EA523DF133A7}"/>
            </c:ext>
          </c:extLst>
        </c:ser>
        <c:ser>
          <c:idx val="1"/>
          <c:order val="1"/>
          <c:tx>
            <c:strRef>
              <c:f>'Technical Comparison'!$G$5</c:f>
              <c:strCache>
                <c:ptCount val="1"/>
                <c:pt idx="0">
                  <c:v>Camera %</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'Technical Comparison'!$A$6:$A$15</c:f>
              <c:strCache>
                <c:ptCount val="10"/>
                <c:pt idx="0">
                  <c:v>1. Convenience / Ease</c:v>
                </c:pt>
                <c:pt idx="1">
                  <c:v>2. Accuracy &amp; Clarity</c:v>
                </c:pt>
                <c:pt idx="2">
                  <c:v>3. Time Efficiency</c:v>
                </c:pt>
                <c:pt idx="3">
                  <c:v>4. Training &amp; Learning Curve</c:v>
                </c:pt>
                <c:pt idx="4">
                  <c:v>5. External Light Source</c:v>
                </c:pt>
                <c:pt idx="5">
                  <c:v>6. Portability</c:v>
                </c:pt>
                <c:pt idx="6">
                  <c:v>7. Recording &amp; Storage</c:v>
                </c:pt>
                <c:pt idx="7">
                  <c:v>8. Clinical Examination</c:v>
                </c:pt>
                <c:pt idx="8">
                  <c:v>9. Resolution</c:v>
                </c:pt>
                <c:pt idx="9">
                  <c:v>10. Field of View</c:v>
                </c:pt>
              </c:strCache>
            </c:strRef>
          </c:cat>
          <c:val>
            <c:numRef>
              <c:f>'Technical Comparison'!$G$6:$G$15</c:f>
              <c:numCache>
                <c:formatCode>0.0%</c:formatCode>
                <c:ptCount val="10"/>
                <c:pt idx="0">
                  <c:v>0.52941176470588236</c:v>
                </c:pt>
                <c:pt idx="1">
                  <c:v>0.77551020408163263</c:v>
                </c:pt>
                <c:pt idx="2">
                  <c:v>0.875</c:v>
                </c:pt>
                <c:pt idx="3">
                  <c:v>0.65306122448979587</c:v>
                </c:pt>
                <c:pt idx="4">
                  <c:v>0.25490196078431371</c:v>
                </c:pt>
                <c:pt idx="5">
                  <c:v>0.9375</c:v>
                </c:pt>
                <c:pt idx="6">
                  <c:v>0.92</c:v>
                </c:pt>
                <c:pt idx="7">
                  <c:v>0.875</c:v>
                </c:pt>
                <c:pt idx="8">
                  <c:v>0.77551020408163263</c:v>
                </c:pt>
                <c:pt idx="9">
                  <c:v>0.54166666666666663</c:v>
                </c:pt>
              </c:numCache>
            </c:numRef>
          </c:val>
          <c:extLst>
            <c:ext xmlns:c16="http://schemas.microsoft.com/office/drawing/2014/chart" uri="{C3380CC4-5D6E-409C-BE32-E72D297353CC}">
              <c16:uniqueId val="{00000001-7C2F-487F-A060-EA523DF133A7}"/>
            </c:ext>
          </c:extLst>
        </c:ser>
        <c:dLbls>
          <c:showLegendKey val="0"/>
          <c:showVal val="0"/>
          <c:showCatName val="0"/>
          <c:showSerName val="0"/>
          <c:showPercent val="0"/>
          <c:showBubbleSize val="0"/>
        </c:dLbls>
        <c:gapWidth val="150"/>
        <c:axId val="35822439"/>
        <c:axId val="36168187"/>
      </c:barChart>
      <c:catAx>
        <c:axId val="35822439"/>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of respondents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168187"/>
        <c:crosses val="autoZero"/>
        <c:auto val="1"/>
        <c:lblAlgn val="ctr"/>
        <c:lblOffset val="100"/>
        <c:noMultiLvlLbl val="0"/>
      </c:catAx>
      <c:valAx>
        <c:axId val="36168187"/>
        <c:scaling>
          <c:orientation val="minMax"/>
        </c:scaling>
        <c:delete val="0"/>
        <c:axPos val="b"/>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82243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8</xdr:col>
      <xdr:colOff>363600</xdr:colOff>
      <xdr:row>18</xdr:row>
      <xdr:rowOff>118080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20</xdr:row>
      <xdr:rowOff>0</xdr:rowOff>
    </xdr:from>
    <xdr:to>
      <xdr:col>8</xdr:col>
      <xdr:colOff>363600</xdr:colOff>
      <xdr:row>32</xdr:row>
      <xdr:rowOff>175680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35</xdr:row>
      <xdr:rowOff>0</xdr:rowOff>
    </xdr:from>
    <xdr:to>
      <xdr:col>8</xdr:col>
      <xdr:colOff>363600</xdr:colOff>
      <xdr:row>48</xdr:row>
      <xdr:rowOff>42120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50</xdr:row>
      <xdr:rowOff>0</xdr:rowOff>
    </xdr:from>
    <xdr:to>
      <xdr:col>8</xdr:col>
      <xdr:colOff>363600</xdr:colOff>
      <xdr:row>66</xdr:row>
      <xdr:rowOff>190440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10</xdr:col>
      <xdr:colOff>399960</xdr:colOff>
      <xdr:row>17</xdr:row>
      <xdr:rowOff>154440</xdr:rowOff>
    </xdr:to>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96840</xdr:rowOff>
    </xdr:from>
    <xdr:to>
      <xdr:col>8</xdr:col>
      <xdr:colOff>102600</xdr:colOff>
      <xdr:row>39</xdr:row>
      <xdr:rowOff>34200</xdr:rowOff>
    </xdr:to>
    <xdr:graphicFrame macro="">
      <xdr:nvGraphicFramePr>
        <xdr:cNvPr id="5" name="Chart 1">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33"/>
  <sheetViews>
    <sheetView showGridLines="0" topLeftCell="A14" zoomScaleNormal="100" workbookViewId="0">
      <selection sqref="A1:B1"/>
    </sheetView>
  </sheetViews>
  <sheetFormatPr defaultColWidth="8.7109375" defaultRowHeight="15" x14ac:dyDescent="0.25"/>
  <cols>
    <col min="1" max="1" width="3" customWidth="1"/>
    <col min="2" max="2" width="100" customWidth="1"/>
  </cols>
  <sheetData>
    <row r="1" spans="1:2" ht="27.75" customHeight="1" x14ac:dyDescent="0.25">
      <c r="A1" s="14" t="s">
        <v>0</v>
      </c>
      <c r="B1" s="14"/>
    </row>
    <row r="3" spans="1:2" ht="21.75" customHeight="1" x14ac:dyDescent="0.25">
      <c r="B3" s="15" t="s">
        <v>1</v>
      </c>
    </row>
    <row r="4" spans="1:2" ht="45" customHeight="1" x14ac:dyDescent="0.25">
      <c r="B4" s="16" t="s">
        <v>2</v>
      </c>
    </row>
    <row r="6" spans="1:2" ht="21.75" customHeight="1" x14ac:dyDescent="0.25">
      <c r="B6" s="15" t="s">
        <v>3</v>
      </c>
    </row>
    <row r="7" spans="1:2" ht="15" customHeight="1" x14ac:dyDescent="0.25">
      <c r="B7" s="17" t="s">
        <v>4</v>
      </c>
    </row>
    <row r="8" spans="1:2" ht="31.5" customHeight="1" x14ac:dyDescent="0.25">
      <c r="B8" s="16" t="s">
        <v>5</v>
      </c>
    </row>
    <row r="9" spans="1:2" ht="15" customHeight="1" x14ac:dyDescent="0.25">
      <c r="B9" s="17" t="s">
        <v>6</v>
      </c>
    </row>
    <row r="10" spans="1:2" ht="60" customHeight="1" x14ac:dyDescent="0.25">
      <c r="B10" s="16" t="s">
        <v>7</v>
      </c>
    </row>
    <row r="11" spans="1:2" ht="18" customHeight="1" x14ac:dyDescent="0.25">
      <c r="B11" s="17" t="s">
        <v>8</v>
      </c>
    </row>
    <row r="12" spans="1:2" ht="31.5" customHeight="1" x14ac:dyDescent="0.25">
      <c r="B12" s="16" t="s">
        <v>9</v>
      </c>
    </row>
    <row r="13" spans="1:2" ht="15" customHeight="1" x14ac:dyDescent="0.25">
      <c r="B13" s="17" t="s">
        <v>10</v>
      </c>
    </row>
    <row r="14" spans="1:2" ht="31.5" customHeight="1" x14ac:dyDescent="0.25">
      <c r="B14" s="16" t="s">
        <v>11</v>
      </c>
    </row>
    <row r="15" spans="1:2" ht="15" customHeight="1" x14ac:dyDescent="0.25">
      <c r="B15" s="17" t="s">
        <v>12</v>
      </c>
    </row>
    <row r="16" spans="1:2" ht="31.5" customHeight="1" x14ac:dyDescent="0.25">
      <c r="B16" s="16" t="s">
        <v>13</v>
      </c>
    </row>
    <row r="17" spans="2:2" ht="15" customHeight="1" x14ac:dyDescent="0.25">
      <c r="B17" s="17" t="s">
        <v>14</v>
      </c>
    </row>
    <row r="18" spans="2:2" ht="31.5" customHeight="1" x14ac:dyDescent="0.25">
      <c r="B18" s="16" t="s">
        <v>15</v>
      </c>
    </row>
    <row r="19" spans="2:2" ht="15" customHeight="1" x14ac:dyDescent="0.25">
      <c r="B19" s="17" t="s">
        <v>16</v>
      </c>
    </row>
    <row r="20" spans="2:2" ht="31.5" customHeight="1" x14ac:dyDescent="0.25">
      <c r="B20" s="16" t="s">
        <v>17</v>
      </c>
    </row>
    <row r="22" spans="2:2" ht="21.75" customHeight="1" x14ac:dyDescent="0.25">
      <c r="B22" s="15" t="s">
        <v>18</v>
      </c>
    </row>
    <row r="23" spans="2:2" ht="18" customHeight="1" x14ac:dyDescent="0.25">
      <c r="B23" s="16" t="s">
        <v>19</v>
      </c>
    </row>
    <row r="24" spans="2:2" ht="18" customHeight="1" x14ac:dyDescent="0.25">
      <c r="B24" s="16" t="s">
        <v>20</v>
      </c>
    </row>
    <row r="25" spans="2:2" ht="18" customHeight="1" x14ac:dyDescent="0.25">
      <c r="B25" s="16" t="s">
        <v>21</v>
      </c>
    </row>
    <row r="26" spans="2:2" ht="18" customHeight="1" x14ac:dyDescent="0.25">
      <c r="B26" s="16" t="s">
        <v>22</v>
      </c>
    </row>
    <row r="27" spans="2:2" ht="18" customHeight="1" x14ac:dyDescent="0.25">
      <c r="B27" s="16" t="s">
        <v>23</v>
      </c>
    </row>
    <row r="29" spans="2:2" ht="21.75" customHeight="1" x14ac:dyDescent="0.25">
      <c r="B29" s="15" t="s">
        <v>24</v>
      </c>
    </row>
    <row r="30" spans="2:2" ht="54.75" customHeight="1" x14ac:dyDescent="0.25">
      <c r="B30" s="16" t="s">
        <v>25</v>
      </c>
    </row>
    <row r="32" spans="2:2" ht="21.75" customHeight="1" x14ac:dyDescent="0.25">
      <c r="B32" s="15" t="s">
        <v>26</v>
      </c>
    </row>
    <row r="33" spans="2:2" ht="69.75" customHeight="1" x14ac:dyDescent="0.25">
      <c r="B33" s="16" t="s">
        <v>27</v>
      </c>
    </row>
  </sheetData>
  <mergeCells count="1">
    <mergeCell ref="A1:B1"/>
  </mergeCells>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Y56"/>
  <sheetViews>
    <sheetView showGridLines="0" zoomScaleNormal="100" workbookViewId="0">
      <selection activeCell="E8" sqref="E8"/>
    </sheetView>
  </sheetViews>
  <sheetFormatPr defaultColWidth="8.7109375" defaultRowHeight="15" x14ac:dyDescent="0.25"/>
  <cols>
    <col min="1" max="1" width="10" customWidth="1"/>
    <col min="2" max="2" width="30" customWidth="1"/>
    <col min="3" max="4" width="22" customWidth="1"/>
    <col min="5" max="5" width="42" customWidth="1"/>
    <col min="6" max="51" width="13" customWidth="1"/>
  </cols>
  <sheetData>
    <row r="1" spans="1:5" ht="25.5" customHeight="1" x14ac:dyDescent="0.25">
      <c r="A1" s="13" t="s">
        <v>28</v>
      </c>
      <c r="B1" s="13"/>
      <c r="C1" s="13"/>
      <c r="D1" s="13"/>
      <c r="E1" s="13"/>
    </row>
    <row r="2" spans="1:5" ht="30" customHeight="1" x14ac:dyDescent="0.25">
      <c r="A2" s="12" t="s">
        <v>29</v>
      </c>
      <c r="B2" s="12"/>
      <c r="C2" s="12"/>
      <c r="D2" s="12"/>
      <c r="E2" s="12"/>
    </row>
    <row r="3" spans="1:5" ht="30" customHeight="1" x14ac:dyDescent="0.25">
      <c r="A3" s="12"/>
      <c r="B3" s="12"/>
      <c r="C3" s="12"/>
      <c r="D3" s="12"/>
      <c r="E3" s="12"/>
    </row>
    <row r="5" spans="1:5" ht="19.5" customHeight="1" x14ac:dyDescent="0.25">
      <c r="B5" s="11" t="s">
        <v>30</v>
      </c>
      <c r="C5" s="11"/>
      <c r="D5" s="11"/>
      <c r="E5" s="11"/>
    </row>
    <row r="6" spans="1:5" ht="15" customHeight="1" x14ac:dyDescent="0.25">
      <c r="B6" s="18" t="s">
        <v>31</v>
      </c>
      <c r="C6" s="19"/>
      <c r="E6" s="20" t="s">
        <v>32</v>
      </c>
    </row>
    <row r="7" spans="1:5" ht="15" customHeight="1" x14ac:dyDescent="0.25">
      <c r="B7" s="18" t="s">
        <v>33</v>
      </c>
      <c r="C7" s="19"/>
    </row>
    <row r="8" spans="1:5" ht="15" customHeight="1" x14ac:dyDescent="0.25">
      <c r="B8" s="18" t="s">
        <v>34</v>
      </c>
      <c r="C8" s="19"/>
    </row>
    <row r="9" spans="1:5" ht="15" customHeight="1" x14ac:dyDescent="0.25">
      <c r="B9" s="18" t="s">
        <v>35</v>
      </c>
      <c r="C9" s="19"/>
    </row>
    <row r="10" spans="1:5" ht="15" customHeight="1" x14ac:dyDescent="0.25">
      <c r="B10" s="18" t="s">
        <v>36</v>
      </c>
      <c r="C10" s="19"/>
    </row>
    <row r="11" spans="1:5" ht="15" customHeight="1" x14ac:dyDescent="0.25">
      <c r="B11" s="18" t="s">
        <v>37</v>
      </c>
      <c r="C11" s="21">
        <f ca="1">TODAY()</f>
        <v>46275</v>
      </c>
    </row>
    <row r="13" spans="1:5" ht="19.5" customHeight="1" x14ac:dyDescent="0.25">
      <c r="B13" s="11" t="s">
        <v>38</v>
      </c>
      <c r="C13" s="11"/>
      <c r="D13" s="11"/>
      <c r="E13" s="11"/>
    </row>
    <row r="14" spans="1:5" ht="15" customHeight="1" x14ac:dyDescent="0.25">
      <c r="C14" s="22" t="s">
        <v>39</v>
      </c>
      <c r="D14" s="23" t="s">
        <v>40</v>
      </c>
    </row>
    <row r="15" spans="1:5" ht="15" customHeight="1" x14ac:dyDescent="0.25">
      <c r="B15" s="18" t="s">
        <v>41</v>
      </c>
      <c r="C15" s="19"/>
      <c r="D15" s="19"/>
      <c r="E15" s="20" t="s">
        <v>42</v>
      </c>
    </row>
    <row r="16" spans="1:5" ht="15" customHeight="1" x14ac:dyDescent="0.25">
      <c r="B16" s="18" t="s">
        <v>43</v>
      </c>
      <c r="C16" s="19"/>
      <c r="D16" s="19"/>
      <c r="E16" s="20" t="s">
        <v>44</v>
      </c>
    </row>
    <row r="17" spans="2:5" ht="15" customHeight="1" x14ac:dyDescent="0.25">
      <c r="B17" s="18" t="s">
        <v>45</v>
      </c>
      <c r="C17" s="19"/>
      <c r="D17" s="19"/>
    </row>
    <row r="18" spans="2:5" ht="15" customHeight="1" x14ac:dyDescent="0.25">
      <c r="B18" s="18" t="s">
        <v>46</v>
      </c>
      <c r="C18" s="19"/>
      <c r="D18" s="19"/>
      <c r="E18" s="20" t="s">
        <v>47</v>
      </c>
    </row>
    <row r="19" spans="2:5" ht="15" customHeight="1" x14ac:dyDescent="0.25">
      <c r="B19" s="18" t="s">
        <v>48</v>
      </c>
      <c r="C19" s="19"/>
      <c r="D19" s="19"/>
      <c r="E19" s="20" t="s">
        <v>49</v>
      </c>
    </row>
    <row r="20" spans="2:5" ht="15" customHeight="1" x14ac:dyDescent="0.25">
      <c r="B20" s="18" t="s">
        <v>50</v>
      </c>
      <c r="C20" s="19"/>
      <c r="D20" s="19"/>
      <c r="E20" s="20" t="s">
        <v>51</v>
      </c>
    </row>
    <row r="21" spans="2:5" ht="15" customHeight="1" x14ac:dyDescent="0.25">
      <c r="B21" s="18" t="s">
        <v>52</v>
      </c>
      <c r="C21" s="19"/>
      <c r="D21" s="19"/>
      <c r="E21" s="20" t="s">
        <v>53</v>
      </c>
    </row>
    <row r="23" spans="2:5" ht="19.5" customHeight="1" x14ac:dyDescent="0.25">
      <c r="B23" s="11" t="s">
        <v>54</v>
      </c>
      <c r="C23" s="11"/>
      <c r="D23" s="11"/>
      <c r="E23" s="11"/>
    </row>
    <row r="24" spans="2:5" ht="15" customHeight="1" x14ac:dyDescent="0.25">
      <c r="B24" s="18" t="s">
        <v>55</v>
      </c>
      <c r="C24" s="19"/>
    </row>
    <row r="25" spans="2:5" ht="15" customHeight="1" x14ac:dyDescent="0.25">
      <c r="B25" s="18" t="s">
        <v>56</v>
      </c>
      <c r="C25" s="19"/>
      <c r="E25" s="20" t="s">
        <v>57</v>
      </c>
    </row>
    <row r="26" spans="2:5" ht="15" customHeight="1" x14ac:dyDescent="0.25">
      <c r="B26" s="18" t="s">
        <v>58</v>
      </c>
      <c r="C26" s="19"/>
      <c r="E26" s="20" t="s">
        <v>59</v>
      </c>
    </row>
    <row r="27" spans="2:5" ht="15" customHeight="1" x14ac:dyDescent="0.25">
      <c r="B27" s="18" t="s">
        <v>60</v>
      </c>
      <c r="C27" s="19"/>
      <c r="E27" s="20" t="s">
        <v>61</v>
      </c>
    </row>
    <row r="28" spans="2:5" ht="15" customHeight="1" x14ac:dyDescent="0.25">
      <c r="B28" s="18" t="s">
        <v>62</v>
      </c>
      <c r="C28" s="19"/>
      <c r="E28" s="20" t="s">
        <v>63</v>
      </c>
    </row>
    <row r="29" spans="2:5" ht="15" customHeight="1" x14ac:dyDescent="0.25">
      <c r="B29" s="18" t="s">
        <v>64</v>
      </c>
      <c r="C29" s="19"/>
      <c r="E29" s="20" t="s">
        <v>65</v>
      </c>
    </row>
    <row r="30" spans="2:5" ht="15" customHeight="1" x14ac:dyDescent="0.25">
      <c r="B30" s="18" t="s">
        <v>66</v>
      </c>
      <c r="C30" s="19"/>
      <c r="E30" s="20" t="s">
        <v>67</v>
      </c>
    </row>
    <row r="32" spans="2:5" ht="19.5" customHeight="1" x14ac:dyDescent="0.25">
      <c r="B32" s="11" t="s">
        <v>68</v>
      </c>
      <c r="C32" s="11"/>
      <c r="D32" s="11"/>
      <c r="E32" s="11"/>
    </row>
    <row r="33" spans="2:5" ht="15" customHeight="1" x14ac:dyDescent="0.25">
      <c r="B33" s="18" t="s">
        <v>69</v>
      </c>
      <c r="C33" s="19"/>
    </row>
    <row r="34" spans="2:5" ht="30" customHeight="1" x14ac:dyDescent="0.25">
      <c r="B34" s="18" t="s">
        <v>70</v>
      </c>
      <c r="C34" s="19"/>
    </row>
    <row r="36" spans="2:5" ht="19.5" customHeight="1" x14ac:dyDescent="0.25">
      <c r="B36" s="11" t="s">
        <v>71</v>
      </c>
      <c r="C36" s="11"/>
      <c r="D36" s="11"/>
      <c r="E36" s="11"/>
    </row>
    <row r="37" spans="2:5" ht="15" customHeight="1" x14ac:dyDescent="0.25">
      <c r="C37" s="22" t="s">
        <v>39</v>
      </c>
      <c r="D37" s="23" t="s">
        <v>40</v>
      </c>
    </row>
    <row r="38" spans="2:5" ht="15" customHeight="1" x14ac:dyDescent="0.25">
      <c r="B38" s="18" t="s">
        <v>72</v>
      </c>
      <c r="C38" s="19"/>
      <c r="D38" s="19"/>
    </row>
    <row r="40" spans="2:5" ht="19.5" customHeight="1" x14ac:dyDescent="0.25">
      <c r="B40" s="11" t="s">
        <v>73</v>
      </c>
      <c r="C40" s="11"/>
      <c r="D40" s="11"/>
      <c r="E40" s="11"/>
    </row>
    <row r="41" spans="2:5" ht="15" customHeight="1" x14ac:dyDescent="0.25">
      <c r="C41" s="22" t="s">
        <v>39</v>
      </c>
      <c r="D41" s="23" t="s">
        <v>40</v>
      </c>
    </row>
    <row r="42" spans="2:5" ht="15" customHeight="1" x14ac:dyDescent="0.25">
      <c r="B42" s="18" t="s">
        <v>74</v>
      </c>
      <c r="C42" s="19"/>
      <c r="D42" s="19"/>
    </row>
    <row r="43" spans="2:5" ht="15" customHeight="1" x14ac:dyDescent="0.25">
      <c r="B43" s="18" t="s">
        <v>75</v>
      </c>
      <c r="C43" s="19"/>
      <c r="D43" s="19"/>
    </row>
    <row r="44" spans="2:5" ht="15" customHeight="1" x14ac:dyDescent="0.25">
      <c r="B44" s="18" t="s">
        <v>76</v>
      </c>
      <c r="C44" s="19"/>
      <c r="D44" s="19"/>
    </row>
    <row r="45" spans="2:5" ht="15" customHeight="1" x14ac:dyDescent="0.25">
      <c r="B45" s="18" t="s">
        <v>77</v>
      </c>
      <c r="C45" s="19"/>
      <c r="D45" s="19"/>
    </row>
    <row r="46" spans="2:5" ht="15" customHeight="1" x14ac:dyDescent="0.25">
      <c r="B46" s="18" t="s">
        <v>78</v>
      </c>
      <c r="C46" s="19"/>
      <c r="D46" s="19"/>
    </row>
    <row r="47" spans="2:5" ht="15" customHeight="1" x14ac:dyDescent="0.25">
      <c r="B47" s="18" t="s">
        <v>79</v>
      </c>
      <c r="C47" s="19"/>
      <c r="D47" s="19"/>
    </row>
    <row r="48" spans="2:5" ht="15" customHeight="1" x14ac:dyDescent="0.25">
      <c r="B48" s="18" t="s">
        <v>80</v>
      </c>
      <c r="C48" s="19"/>
      <c r="D48" s="19"/>
    </row>
    <row r="49" spans="1:51" ht="15" customHeight="1" x14ac:dyDescent="0.25">
      <c r="B49" s="18" t="s">
        <v>81</v>
      </c>
      <c r="C49" s="19"/>
      <c r="D49" s="19"/>
    </row>
    <row r="50" spans="1:51" ht="15" customHeight="1" x14ac:dyDescent="0.25">
      <c r="B50" s="18" t="s">
        <v>82</v>
      </c>
      <c r="C50" s="19"/>
      <c r="D50" s="19"/>
    </row>
    <row r="51" spans="1:51" ht="15" customHeight="1" x14ac:dyDescent="0.25">
      <c r="B51" s="18" t="s">
        <v>83</v>
      </c>
      <c r="C51" s="19"/>
      <c r="D51" s="19"/>
    </row>
    <row r="54" spans="1:51" ht="15" customHeight="1" x14ac:dyDescent="0.25">
      <c r="A54" s="10" t="s">
        <v>84</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row>
    <row r="55" spans="1:51" ht="18.75" customHeight="1" x14ac:dyDescent="0.25">
      <c r="A55" s="24" t="s">
        <v>85</v>
      </c>
      <c r="B55" s="24" t="s">
        <v>86</v>
      </c>
      <c r="C55" s="24" t="s">
        <v>34</v>
      </c>
      <c r="D55" s="24" t="s">
        <v>35</v>
      </c>
      <c r="E55" s="24" t="s">
        <v>36</v>
      </c>
      <c r="F55" s="24" t="s">
        <v>87</v>
      </c>
      <c r="G55" s="24" t="s">
        <v>88</v>
      </c>
      <c r="H55" s="24" t="s">
        <v>89</v>
      </c>
      <c r="I55" s="24" t="s">
        <v>90</v>
      </c>
      <c r="J55" s="24" t="s">
        <v>91</v>
      </c>
      <c r="K55" s="24" t="s">
        <v>92</v>
      </c>
      <c r="L55" s="24" t="s">
        <v>93</v>
      </c>
      <c r="M55" s="24" t="s">
        <v>94</v>
      </c>
      <c r="N55" s="24" t="s">
        <v>95</v>
      </c>
      <c r="O55" s="24" t="s">
        <v>96</v>
      </c>
      <c r="P55" s="24" t="s">
        <v>97</v>
      </c>
      <c r="Q55" s="24" t="s">
        <v>98</v>
      </c>
      <c r="R55" s="24" t="s">
        <v>99</v>
      </c>
      <c r="S55" s="24" t="s">
        <v>100</v>
      </c>
      <c r="T55" s="24" t="s">
        <v>101</v>
      </c>
      <c r="U55" s="24" t="s">
        <v>102</v>
      </c>
      <c r="V55" s="24" t="s">
        <v>103</v>
      </c>
      <c r="W55" s="24" t="s">
        <v>104</v>
      </c>
      <c r="X55" s="24" t="s">
        <v>60</v>
      </c>
      <c r="Y55" s="24" t="s">
        <v>105</v>
      </c>
      <c r="Z55" s="24" t="s">
        <v>106</v>
      </c>
      <c r="AA55" s="24" t="s">
        <v>107</v>
      </c>
      <c r="AB55" s="24" t="s">
        <v>69</v>
      </c>
      <c r="AC55" s="24" t="s">
        <v>70</v>
      </c>
      <c r="AD55" s="24" t="s">
        <v>108</v>
      </c>
      <c r="AE55" s="24" t="s">
        <v>109</v>
      </c>
      <c r="AF55" s="24" t="s">
        <v>110</v>
      </c>
      <c r="AG55" s="24" t="s">
        <v>111</v>
      </c>
      <c r="AH55" s="24" t="s">
        <v>112</v>
      </c>
      <c r="AI55" s="24" t="s">
        <v>113</v>
      </c>
      <c r="AJ55" s="24" t="s">
        <v>114</v>
      </c>
      <c r="AK55" s="24" t="s">
        <v>115</v>
      </c>
      <c r="AL55" s="24" t="s">
        <v>116</v>
      </c>
      <c r="AM55" s="24" t="s">
        <v>117</v>
      </c>
      <c r="AN55" s="24" t="s">
        <v>118</v>
      </c>
      <c r="AO55" s="24" t="s">
        <v>119</v>
      </c>
      <c r="AP55" s="24" t="s">
        <v>120</v>
      </c>
      <c r="AQ55" s="24" t="s">
        <v>121</v>
      </c>
      <c r="AR55" s="24" t="s">
        <v>122</v>
      </c>
      <c r="AS55" s="24" t="s">
        <v>123</v>
      </c>
      <c r="AT55" s="24" t="s">
        <v>124</v>
      </c>
      <c r="AU55" s="24" t="s">
        <v>125</v>
      </c>
      <c r="AV55" s="24" t="s">
        <v>126</v>
      </c>
      <c r="AW55" s="24" t="s">
        <v>127</v>
      </c>
      <c r="AX55" s="24" t="s">
        <v>128</v>
      </c>
      <c r="AY55" s="24" t="s">
        <v>129</v>
      </c>
    </row>
    <row r="56" spans="1:51" ht="15" customHeight="1" x14ac:dyDescent="0.25">
      <c r="A56" s="25"/>
      <c r="B56" s="25"/>
      <c r="C56" s="26"/>
      <c r="D56" s="25"/>
      <c r="E56" s="25"/>
      <c r="F56" s="27"/>
      <c r="G56" s="25">
        <f>C15</f>
        <v>0</v>
      </c>
      <c r="H56" s="25">
        <f>C16</f>
        <v>0</v>
      </c>
      <c r="I56" s="25">
        <f>C17</f>
        <v>0</v>
      </c>
      <c r="J56" s="25">
        <f>D15</f>
        <v>0</v>
      </c>
      <c r="K56" s="25">
        <f>D16</f>
        <v>0</v>
      </c>
      <c r="L56" s="25">
        <f>D17</f>
        <v>0</v>
      </c>
      <c r="M56" s="28">
        <f>C18</f>
        <v>0</v>
      </c>
      <c r="N56" s="28">
        <f>D18</f>
        <v>0</v>
      </c>
      <c r="O56" s="29">
        <f>C19</f>
        <v>0</v>
      </c>
      <c r="P56" s="29">
        <f>C20</f>
        <v>0</v>
      </c>
      <c r="Q56" s="26">
        <f>C21</f>
        <v>0</v>
      </c>
      <c r="R56" s="29">
        <f>D19</f>
        <v>0</v>
      </c>
      <c r="S56" s="29">
        <f>D20</f>
        <v>0</v>
      </c>
      <c r="T56" s="26">
        <f>D21</f>
        <v>0</v>
      </c>
      <c r="U56" s="25">
        <f>C24</f>
        <v>0</v>
      </c>
      <c r="V56" s="25">
        <f>C25</f>
        <v>0</v>
      </c>
      <c r="W56" s="25">
        <f>C26</f>
        <v>0</v>
      </c>
      <c r="X56" s="25">
        <f>C27</f>
        <v>0</v>
      </c>
      <c r="Y56" s="25">
        <f>C28</f>
        <v>0</v>
      </c>
      <c r="Z56" s="25">
        <f>C29</f>
        <v>0</v>
      </c>
      <c r="AA56" s="25">
        <f>C30</f>
        <v>0</v>
      </c>
      <c r="AB56" s="25">
        <f>C33</f>
        <v>0</v>
      </c>
      <c r="AC56" s="25">
        <f>C34</f>
        <v>0</v>
      </c>
      <c r="AD56" s="25">
        <f>C38</f>
        <v>0</v>
      </c>
      <c r="AE56" s="25">
        <f>D38</f>
        <v>0</v>
      </c>
      <c r="AF56" s="25">
        <f>C42</f>
        <v>0</v>
      </c>
      <c r="AG56" s="25">
        <f>D42</f>
        <v>0</v>
      </c>
      <c r="AH56" s="25">
        <f>C43</f>
        <v>0</v>
      </c>
      <c r="AI56" s="25">
        <f>D43</f>
        <v>0</v>
      </c>
      <c r="AJ56" s="25">
        <f>C44</f>
        <v>0</v>
      </c>
      <c r="AK56" s="25">
        <f>D44</f>
        <v>0</v>
      </c>
      <c r="AL56" s="25">
        <f>C45</f>
        <v>0</v>
      </c>
      <c r="AM56" s="25">
        <f>D45</f>
        <v>0</v>
      </c>
      <c r="AN56" s="25">
        <f>C46</f>
        <v>0</v>
      </c>
      <c r="AO56" s="25">
        <f>D46</f>
        <v>0</v>
      </c>
      <c r="AP56" s="25">
        <f>C47</f>
        <v>0</v>
      </c>
      <c r="AQ56" s="25">
        <f>D47</f>
        <v>0</v>
      </c>
      <c r="AR56" s="25">
        <f>C48</f>
        <v>0</v>
      </c>
      <c r="AS56" s="25">
        <f>D48</f>
        <v>0</v>
      </c>
      <c r="AT56" s="25">
        <f>C49</f>
        <v>0</v>
      </c>
      <c r="AU56" s="25">
        <f>D49</f>
        <v>0</v>
      </c>
      <c r="AV56" s="25">
        <f>C50</f>
        <v>0</v>
      </c>
      <c r="AW56" s="25">
        <f>D50</f>
        <v>0</v>
      </c>
      <c r="AX56" s="25">
        <f>C51</f>
        <v>0</v>
      </c>
      <c r="AY56" s="25">
        <f>D51</f>
        <v>0</v>
      </c>
    </row>
  </sheetData>
  <mergeCells count="9">
    <mergeCell ref="B32:E32"/>
    <mergeCell ref="B36:E36"/>
    <mergeCell ref="B40:E40"/>
    <mergeCell ref="A54:AY54"/>
    <mergeCell ref="A1:E1"/>
    <mergeCell ref="A2:E3"/>
    <mergeCell ref="B5:E5"/>
    <mergeCell ref="B13:E13"/>
    <mergeCell ref="B23:E23"/>
  </mergeCells>
  <dataValidations count="5">
    <dataValidation type="list" allowBlank="1" errorTitle="Invalid entry" error="Please choose a value from the dropdown list." sqref="C9" xr:uid="{00000000-0002-0000-0100-000000000000}">
      <formula1>"Male,Female,Other,Not recorded"</formula1>
      <formula2>0</formula2>
    </dataValidation>
    <dataValidation type="list" allowBlank="1" errorTitle="Invalid entry" error="Please choose a value from the dropdown list." sqref="C38:D38" xr:uid="{00000000-0002-0000-0100-000001000000}">
      <formula1>"Satisfactory,Unsatisfactory,Not recorded"</formula1>
      <formula2>0</formula2>
    </dataValidation>
    <dataValidation type="list" allowBlank="1" errorTitle="Invalid entry" error="Please choose a value from the dropdown list." sqref="C42:D42" xr:uid="{00000000-0002-0000-0100-000003000000}">
      <formula1>"Very Easy,Easy,Difficult,Not recorded"</formula1>
      <formula2>0</formula2>
    </dataValidation>
    <dataValidation type="list" allowBlank="1" errorTitle="Invalid entry" error="Please choose a value from the dropdown list." sqref="C43:D43" xr:uid="{00000000-0002-0000-0100-000005000000}">
      <formula1>"Satisfied,Unsatisfied,Not recorded"</formula1>
      <formula2>0</formula2>
    </dataValidation>
    <dataValidation type="list" allowBlank="1" errorTitle="Invalid entry" error="Please choose a value from the dropdown list." sqref="C44:D51" xr:uid="{00000000-0002-0000-0100-000007000000}">
      <formula1>"Yes,No,Not recorded"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Y1001"/>
  <sheetViews>
    <sheetView showGridLines="0" zoomScaleNormal="100" workbookViewId="0">
      <pane ySplit="1" topLeftCell="A2" activePane="bottomLeft" state="frozen"/>
      <selection pane="bottomLeft" activeCell="Z8" sqref="Z8"/>
    </sheetView>
  </sheetViews>
  <sheetFormatPr defaultColWidth="8.7109375" defaultRowHeight="15" x14ac:dyDescent="0.25"/>
  <cols>
    <col min="1" max="1" width="15" customWidth="1"/>
    <col min="2" max="2" width="22" customWidth="1"/>
    <col min="3" max="3" width="10" customWidth="1"/>
    <col min="4" max="4" width="15" customWidth="1"/>
    <col min="5" max="5" width="22" customWidth="1"/>
    <col min="6" max="12" width="15" customWidth="1"/>
    <col min="13" max="20" width="10" customWidth="1"/>
    <col min="21" max="21" width="22" customWidth="1"/>
    <col min="22" max="22" width="10" customWidth="1"/>
    <col min="23" max="28" width="15" customWidth="1"/>
    <col min="29" max="29" width="22" customWidth="1"/>
    <col min="30" max="51" width="15" customWidth="1"/>
  </cols>
  <sheetData>
    <row r="1" spans="1:51" ht="30" customHeight="1" x14ac:dyDescent="0.25">
      <c r="A1" s="30" t="s">
        <v>85</v>
      </c>
      <c r="B1" s="30" t="s">
        <v>86</v>
      </c>
      <c r="C1" s="30" t="s">
        <v>34</v>
      </c>
      <c r="D1" s="30" t="s">
        <v>35</v>
      </c>
      <c r="E1" s="30" t="s">
        <v>36</v>
      </c>
      <c r="F1" s="30" t="s">
        <v>87</v>
      </c>
      <c r="G1" s="30" t="s">
        <v>88</v>
      </c>
      <c r="H1" s="30" t="s">
        <v>89</v>
      </c>
      <c r="I1" s="30" t="s">
        <v>90</v>
      </c>
      <c r="J1" s="30" t="s">
        <v>91</v>
      </c>
      <c r="K1" s="30" t="s">
        <v>92</v>
      </c>
      <c r="L1" s="30" t="s">
        <v>93</v>
      </c>
      <c r="M1" s="30" t="s">
        <v>94</v>
      </c>
      <c r="N1" s="30" t="s">
        <v>95</v>
      </c>
      <c r="O1" s="30" t="s">
        <v>96</v>
      </c>
      <c r="P1" s="30" t="s">
        <v>97</v>
      </c>
      <c r="Q1" s="30" t="s">
        <v>98</v>
      </c>
      <c r="R1" s="30" t="s">
        <v>99</v>
      </c>
      <c r="S1" s="30" t="s">
        <v>100</v>
      </c>
      <c r="T1" s="30" t="s">
        <v>101</v>
      </c>
      <c r="U1" s="30" t="s">
        <v>102</v>
      </c>
      <c r="V1" s="30" t="s">
        <v>103</v>
      </c>
      <c r="W1" s="30" t="s">
        <v>104</v>
      </c>
      <c r="X1" s="30" t="s">
        <v>60</v>
      </c>
      <c r="Y1" s="30" t="s">
        <v>105</v>
      </c>
      <c r="Z1" s="30" t="s">
        <v>106</v>
      </c>
      <c r="AA1" s="30" t="s">
        <v>107</v>
      </c>
      <c r="AB1" s="30" t="s">
        <v>69</v>
      </c>
      <c r="AC1" s="30" t="s">
        <v>70</v>
      </c>
      <c r="AD1" s="30" t="s">
        <v>108</v>
      </c>
      <c r="AE1" s="30" t="s">
        <v>109</v>
      </c>
      <c r="AF1" s="30" t="s">
        <v>110</v>
      </c>
      <c r="AG1" s="30" t="s">
        <v>111</v>
      </c>
      <c r="AH1" s="30" t="s">
        <v>112</v>
      </c>
      <c r="AI1" s="30" t="s">
        <v>113</v>
      </c>
      <c r="AJ1" s="30" t="s">
        <v>114</v>
      </c>
      <c r="AK1" s="30" t="s">
        <v>115</v>
      </c>
      <c r="AL1" s="30" t="s">
        <v>116</v>
      </c>
      <c r="AM1" s="30" t="s">
        <v>117</v>
      </c>
      <c r="AN1" s="30" t="s">
        <v>118</v>
      </c>
      <c r="AO1" s="30" t="s">
        <v>119</v>
      </c>
      <c r="AP1" s="30" t="s">
        <v>120</v>
      </c>
      <c r="AQ1" s="30" t="s">
        <v>121</v>
      </c>
      <c r="AR1" s="30" t="s">
        <v>122</v>
      </c>
      <c r="AS1" s="30" t="s">
        <v>123</v>
      </c>
      <c r="AT1" s="30" t="s">
        <v>124</v>
      </c>
      <c r="AU1" s="30" t="s">
        <v>125</v>
      </c>
      <c r="AV1" s="30" t="s">
        <v>126</v>
      </c>
      <c r="AW1" s="30" t="s">
        <v>127</v>
      </c>
      <c r="AX1" s="30" t="s">
        <v>128</v>
      </c>
      <c r="AY1" s="30" t="s">
        <v>129</v>
      </c>
    </row>
    <row r="2" spans="1:51" ht="15" customHeight="1" x14ac:dyDescent="0.25">
      <c r="A2" s="31" t="s">
        <v>130</v>
      </c>
      <c r="B2" s="31" t="s">
        <v>131</v>
      </c>
      <c r="C2" s="32">
        <v>46</v>
      </c>
      <c r="D2" s="31" t="s">
        <v>132</v>
      </c>
      <c r="E2" s="31" t="s">
        <v>133</v>
      </c>
      <c r="F2" s="33" t="s">
        <v>134</v>
      </c>
      <c r="G2" s="31" t="s">
        <v>135</v>
      </c>
      <c r="H2" s="31" t="s">
        <v>136</v>
      </c>
      <c r="I2" s="31" t="s">
        <v>136</v>
      </c>
      <c r="J2" s="31" t="s">
        <v>135</v>
      </c>
      <c r="K2" s="31" t="s">
        <v>137</v>
      </c>
      <c r="L2" s="31" t="s">
        <v>135</v>
      </c>
      <c r="M2" s="34">
        <v>15.1</v>
      </c>
      <c r="N2" s="34">
        <v>16</v>
      </c>
      <c r="O2" s="35">
        <v>3.21</v>
      </c>
      <c r="P2" s="35">
        <v>-1.1100000000000001</v>
      </c>
      <c r="Q2" s="32">
        <v>30</v>
      </c>
      <c r="R2" s="35">
        <v>3.13</v>
      </c>
      <c r="S2" s="35">
        <v>-0.72</v>
      </c>
      <c r="T2" s="32">
        <v>34</v>
      </c>
      <c r="U2" s="31" t="s">
        <v>138</v>
      </c>
      <c r="V2" s="31" t="s">
        <v>139</v>
      </c>
      <c r="W2" s="31" t="s">
        <v>140</v>
      </c>
      <c r="X2" s="31" t="s">
        <v>141</v>
      </c>
      <c r="Y2" s="31" t="s">
        <v>142</v>
      </c>
      <c r="Z2" s="31" t="s">
        <v>143</v>
      </c>
      <c r="AA2" s="31"/>
      <c r="AB2" s="31" t="s">
        <v>144</v>
      </c>
      <c r="AC2" s="31" t="s">
        <v>145</v>
      </c>
      <c r="AD2" s="31" t="s">
        <v>146</v>
      </c>
      <c r="AE2" s="31" t="s">
        <v>147</v>
      </c>
      <c r="AF2" s="31" t="s">
        <v>148</v>
      </c>
      <c r="AG2" s="31" t="s">
        <v>148</v>
      </c>
      <c r="AH2" s="31" t="s">
        <v>149</v>
      </c>
      <c r="AI2" s="31" t="s">
        <v>149</v>
      </c>
      <c r="AJ2" s="31" t="s">
        <v>150</v>
      </c>
      <c r="AK2" s="31" t="s">
        <v>151</v>
      </c>
      <c r="AL2" s="31" t="s">
        <v>151</v>
      </c>
      <c r="AM2" s="31" t="s">
        <v>150</v>
      </c>
      <c r="AN2" s="31" t="s">
        <v>151</v>
      </c>
      <c r="AO2" s="31" t="s">
        <v>150</v>
      </c>
      <c r="AP2" s="31" t="s">
        <v>151</v>
      </c>
      <c r="AQ2" s="31" t="s">
        <v>151</v>
      </c>
      <c r="AR2" s="31" t="s">
        <v>151</v>
      </c>
      <c r="AS2" s="31" t="s">
        <v>151</v>
      </c>
      <c r="AT2" s="31" t="s">
        <v>151</v>
      </c>
      <c r="AU2" s="31" t="s">
        <v>151</v>
      </c>
      <c r="AV2" s="31" t="s">
        <v>151</v>
      </c>
      <c r="AW2" s="31" t="s">
        <v>150</v>
      </c>
      <c r="AX2" s="31" t="s">
        <v>151</v>
      </c>
      <c r="AY2" s="31" t="s">
        <v>150</v>
      </c>
    </row>
    <row r="3" spans="1:51" ht="15" customHeight="1" x14ac:dyDescent="0.25">
      <c r="A3" s="31" t="s">
        <v>152</v>
      </c>
      <c r="B3" s="31" t="s">
        <v>153</v>
      </c>
      <c r="C3" s="32">
        <v>29</v>
      </c>
      <c r="D3" s="31" t="s">
        <v>132</v>
      </c>
      <c r="E3" s="31" t="s">
        <v>154</v>
      </c>
      <c r="F3" s="33" t="s">
        <v>155</v>
      </c>
      <c r="G3" s="31" t="s">
        <v>137</v>
      </c>
      <c r="H3" s="31" t="s">
        <v>137</v>
      </c>
      <c r="I3" s="31" t="s">
        <v>156</v>
      </c>
      <c r="J3" s="31" t="s">
        <v>157</v>
      </c>
      <c r="K3" s="31" t="s">
        <v>137</v>
      </c>
      <c r="L3" s="31" t="s">
        <v>158</v>
      </c>
      <c r="M3" s="34">
        <v>17.2</v>
      </c>
      <c r="N3" s="34">
        <v>16.600000000000001</v>
      </c>
      <c r="O3" s="35">
        <v>-1.96</v>
      </c>
      <c r="P3" s="35">
        <v>-2.62</v>
      </c>
      <c r="Q3" s="32">
        <v>90</v>
      </c>
      <c r="R3" s="35">
        <v>-1.88</v>
      </c>
      <c r="S3" s="35">
        <v>-3.05</v>
      </c>
      <c r="T3" s="32">
        <v>86</v>
      </c>
      <c r="U3" s="31" t="s">
        <v>159</v>
      </c>
      <c r="V3" s="31" t="s">
        <v>160</v>
      </c>
      <c r="W3" s="31" t="s">
        <v>140</v>
      </c>
      <c r="X3" s="31" t="s">
        <v>161</v>
      </c>
      <c r="Y3" s="31" t="s">
        <v>162</v>
      </c>
      <c r="Z3" s="31" t="s">
        <v>163</v>
      </c>
      <c r="AA3" s="31" t="s">
        <v>164</v>
      </c>
      <c r="AB3" s="31" t="s">
        <v>165</v>
      </c>
      <c r="AC3" s="31" t="s">
        <v>166</v>
      </c>
      <c r="AD3" s="31" t="s">
        <v>146</v>
      </c>
      <c r="AE3" s="31" t="s">
        <v>147</v>
      </c>
      <c r="AF3" s="31" t="s">
        <v>167</v>
      </c>
      <c r="AG3" s="31" t="s">
        <v>168</v>
      </c>
      <c r="AH3" s="31" t="s">
        <v>169</v>
      </c>
      <c r="AI3" s="31" t="s">
        <v>149</v>
      </c>
      <c r="AJ3" s="31" t="s">
        <v>151</v>
      </c>
      <c r="AK3" s="31" t="s">
        <v>151</v>
      </c>
      <c r="AL3" s="31" t="s">
        <v>151</v>
      </c>
      <c r="AM3" s="31" t="s">
        <v>151</v>
      </c>
      <c r="AN3" s="31" t="s">
        <v>151</v>
      </c>
      <c r="AO3" s="31" t="s">
        <v>150</v>
      </c>
      <c r="AP3" s="31" t="s">
        <v>150</v>
      </c>
      <c r="AQ3" s="31" t="s">
        <v>151</v>
      </c>
      <c r="AR3" s="31" t="s">
        <v>151</v>
      </c>
      <c r="AS3" s="31" t="s">
        <v>151</v>
      </c>
      <c r="AT3" s="31" t="s">
        <v>151</v>
      </c>
      <c r="AU3" s="31" t="s">
        <v>151</v>
      </c>
      <c r="AV3" s="31" t="s">
        <v>151</v>
      </c>
      <c r="AW3" s="31" t="s">
        <v>151</v>
      </c>
      <c r="AX3" s="31" t="s">
        <v>150</v>
      </c>
      <c r="AY3" s="31" t="s">
        <v>150</v>
      </c>
    </row>
    <row r="4" spans="1:51" ht="15" customHeight="1" x14ac:dyDescent="0.25">
      <c r="A4" s="31" t="s">
        <v>170</v>
      </c>
      <c r="B4" s="31" t="s">
        <v>171</v>
      </c>
      <c r="C4" s="32">
        <v>19</v>
      </c>
      <c r="D4" s="31" t="s">
        <v>132</v>
      </c>
      <c r="E4" s="31" t="s">
        <v>172</v>
      </c>
      <c r="F4" s="33" t="s">
        <v>173</v>
      </c>
      <c r="G4" s="31" t="s">
        <v>136</v>
      </c>
      <c r="H4" s="31" t="s">
        <v>135</v>
      </c>
      <c r="I4" s="31" t="s">
        <v>136</v>
      </c>
      <c r="J4" s="31" t="s">
        <v>136</v>
      </c>
      <c r="K4" s="31" t="s">
        <v>174</v>
      </c>
      <c r="L4" s="31" t="s">
        <v>175</v>
      </c>
      <c r="M4" s="34">
        <v>16.5</v>
      </c>
      <c r="N4" s="34">
        <v>15.2</v>
      </c>
      <c r="O4" s="35">
        <v>-4.42</v>
      </c>
      <c r="P4" s="35">
        <v>-1.1000000000000001</v>
      </c>
      <c r="Q4" s="32">
        <v>170</v>
      </c>
      <c r="R4" s="35">
        <v>-3.91</v>
      </c>
      <c r="S4" s="35">
        <v>-1.08</v>
      </c>
      <c r="T4" s="32">
        <v>161</v>
      </c>
      <c r="U4" s="31" t="s">
        <v>176</v>
      </c>
      <c r="V4" s="31" t="s">
        <v>177</v>
      </c>
      <c r="W4" s="31" t="s">
        <v>140</v>
      </c>
      <c r="X4" s="31" t="s">
        <v>161</v>
      </c>
      <c r="Y4" s="31" t="s">
        <v>162</v>
      </c>
      <c r="Z4" s="31" t="s">
        <v>178</v>
      </c>
      <c r="AA4" s="31"/>
      <c r="AB4" s="31" t="s">
        <v>179</v>
      </c>
      <c r="AC4" s="31" t="s">
        <v>180</v>
      </c>
      <c r="AD4" s="31" t="s">
        <v>147</v>
      </c>
      <c r="AE4" s="31" t="s">
        <v>146</v>
      </c>
      <c r="AF4" s="31" t="s">
        <v>168</v>
      </c>
      <c r="AG4" s="31" t="s">
        <v>168</v>
      </c>
      <c r="AH4" s="31" t="s">
        <v>169</v>
      </c>
      <c r="AI4" s="31" t="s">
        <v>149</v>
      </c>
      <c r="AJ4" s="31" t="s">
        <v>150</v>
      </c>
      <c r="AK4" s="31" t="s">
        <v>151</v>
      </c>
      <c r="AL4" s="31" t="s">
        <v>151</v>
      </c>
      <c r="AM4" s="31" t="s">
        <v>150</v>
      </c>
      <c r="AN4" s="31" t="s">
        <v>151</v>
      </c>
      <c r="AO4" s="31" t="s">
        <v>150</v>
      </c>
      <c r="AP4" s="31" t="s">
        <v>150</v>
      </c>
      <c r="AQ4" s="31" t="s">
        <v>151</v>
      </c>
      <c r="AR4" s="31" t="s">
        <v>150</v>
      </c>
      <c r="AS4" s="31" t="s">
        <v>150</v>
      </c>
      <c r="AT4" s="31" t="s">
        <v>151</v>
      </c>
      <c r="AU4" s="31" t="s">
        <v>151</v>
      </c>
      <c r="AV4" s="31" t="s">
        <v>151</v>
      </c>
      <c r="AW4" s="31" t="s">
        <v>151</v>
      </c>
      <c r="AX4" s="31" t="s">
        <v>151</v>
      </c>
      <c r="AY4" s="31" t="s">
        <v>151</v>
      </c>
    </row>
    <row r="5" spans="1:51" ht="15" customHeight="1" x14ac:dyDescent="0.25">
      <c r="A5" s="31" t="s">
        <v>181</v>
      </c>
      <c r="B5" s="31" t="s">
        <v>182</v>
      </c>
      <c r="C5" s="32">
        <v>28</v>
      </c>
      <c r="D5" s="31" t="s">
        <v>132</v>
      </c>
      <c r="E5" s="31" t="s">
        <v>183</v>
      </c>
      <c r="F5" s="33" t="s">
        <v>184</v>
      </c>
      <c r="G5" s="31" t="s">
        <v>175</v>
      </c>
      <c r="H5" s="31" t="s">
        <v>135</v>
      </c>
      <c r="I5" s="31" t="s">
        <v>137</v>
      </c>
      <c r="J5" s="31" t="s">
        <v>175</v>
      </c>
      <c r="K5" s="31" t="s">
        <v>135</v>
      </c>
      <c r="L5" s="31" t="s">
        <v>137</v>
      </c>
      <c r="M5" s="34">
        <v>15.9</v>
      </c>
      <c r="N5" s="34">
        <v>14.3</v>
      </c>
      <c r="O5" s="35">
        <v>0.23</v>
      </c>
      <c r="P5" s="35">
        <v>-1.1599999999999999</v>
      </c>
      <c r="Q5" s="32">
        <v>30</v>
      </c>
      <c r="R5" s="35">
        <v>0.02</v>
      </c>
      <c r="S5" s="35">
        <v>-1.31</v>
      </c>
      <c r="T5" s="32">
        <v>41</v>
      </c>
      <c r="U5" s="31" t="s">
        <v>185</v>
      </c>
      <c r="V5" s="31" t="s">
        <v>186</v>
      </c>
      <c r="W5" s="31" t="s">
        <v>187</v>
      </c>
      <c r="X5" s="31" t="s">
        <v>161</v>
      </c>
      <c r="Y5" s="31" t="s">
        <v>162</v>
      </c>
      <c r="Z5" s="31" t="s">
        <v>143</v>
      </c>
      <c r="AA5" s="31"/>
      <c r="AB5" s="31" t="s">
        <v>165</v>
      </c>
      <c r="AC5" s="31" t="s">
        <v>188</v>
      </c>
      <c r="AD5" s="31" t="s">
        <v>146</v>
      </c>
      <c r="AE5" s="31" t="s">
        <v>146</v>
      </c>
      <c r="AF5" s="31" t="s">
        <v>148</v>
      </c>
      <c r="AG5" s="31" t="s">
        <v>167</v>
      </c>
      <c r="AH5" s="31" t="s">
        <v>149</v>
      </c>
      <c r="AI5" s="31" t="s">
        <v>169</v>
      </c>
      <c r="AJ5" s="31" t="s">
        <v>151</v>
      </c>
      <c r="AK5" s="31" t="s">
        <v>151</v>
      </c>
      <c r="AL5" s="31" t="s">
        <v>151</v>
      </c>
      <c r="AM5" s="31" t="s">
        <v>151</v>
      </c>
      <c r="AN5" s="31" t="s">
        <v>151</v>
      </c>
      <c r="AO5" s="31" t="s">
        <v>150</v>
      </c>
      <c r="AP5" s="31" t="s">
        <v>150</v>
      </c>
      <c r="AQ5" s="31" t="s">
        <v>151</v>
      </c>
      <c r="AR5" s="31" t="s">
        <v>150</v>
      </c>
      <c r="AS5" s="31" t="s">
        <v>151</v>
      </c>
      <c r="AT5" s="31" t="s">
        <v>151</v>
      </c>
      <c r="AU5" s="31" t="s">
        <v>151</v>
      </c>
      <c r="AV5" s="31" t="s">
        <v>151</v>
      </c>
      <c r="AW5" s="31" t="s">
        <v>150</v>
      </c>
      <c r="AX5" s="31" t="s">
        <v>151</v>
      </c>
      <c r="AY5" s="31" t="s">
        <v>151</v>
      </c>
    </row>
    <row r="6" spans="1:51" ht="15" customHeight="1" x14ac:dyDescent="0.25">
      <c r="A6" s="31" t="s">
        <v>189</v>
      </c>
      <c r="B6" s="31" t="s">
        <v>190</v>
      </c>
      <c r="C6" s="32">
        <v>37</v>
      </c>
      <c r="D6" s="31" t="s">
        <v>132</v>
      </c>
      <c r="E6" s="31" t="s">
        <v>191</v>
      </c>
      <c r="F6" s="33" t="s">
        <v>192</v>
      </c>
      <c r="G6" s="31" t="s">
        <v>193</v>
      </c>
      <c r="H6" s="31" t="s">
        <v>135</v>
      </c>
      <c r="I6" s="31" t="s">
        <v>156</v>
      </c>
      <c r="J6" s="31" t="s">
        <v>135</v>
      </c>
      <c r="K6" s="31" t="s">
        <v>137</v>
      </c>
      <c r="L6" s="31" t="s">
        <v>194</v>
      </c>
      <c r="M6" s="34">
        <v>12.1</v>
      </c>
      <c r="N6" s="34">
        <v>13.3</v>
      </c>
      <c r="O6" s="35">
        <v>-3.92</v>
      </c>
      <c r="P6" s="35">
        <v>-2.66</v>
      </c>
      <c r="Q6" s="32">
        <v>0</v>
      </c>
      <c r="R6" s="35">
        <v>-3.85</v>
      </c>
      <c r="S6" s="35">
        <v>-2.99</v>
      </c>
      <c r="T6" s="32">
        <v>1</v>
      </c>
      <c r="U6" s="31" t="s">
        <v>195</v>
      </c>
      <c r="V6" s="31" t="s">
        <v>139</v>
      </c>
      <c r="W6" s="31" t="s">
        <v>140</v>
      </c>
      <c r="X6" s="31" t="s">
        <v>161</v>
      </c>
      <c r="Y6" s="31" t="s">
        <v>196</v>
      </c>
      <c r="Z6" s="31" t="s">
        <v>143</v>
      </c>
      <c r="AA6" s="31"/>
      <c r="AB6" s="31" t="s">
        <v>197</v>
      </c>
      <c r="AC6" s="31" t="s">
        <v>198</v>
      </c>
      <c r="AD6" s="31" t="s">
        <v>147</v>
      </c>
      <c r="AE6" s="31" t="s">
        <v>146</v>
      </c>
      <c r="AF6" s="31" t="s">
        <v>168</v>
      </c>
      <c r="AG6" s="31" t="s">
        <v>148</v>
      </c>
      <c r="AH6" s="31" t="s">
        <v>149</v>
      </c>
      <c r="AI6" s="31" t="s">
        <v>149</v>
      </c>
      <c r="AJ6" s="31" t="s">
        <v>151</v>
      </c>
      <c r="AK6" s="31" t="s">
        <v>151</v>
      </c>
      <c r="AL6" s="31" t="s">
        <v>150</v>
      </c>
      <c r="AM6" s="31" t="s">
        <v>151</v>
      </c>
      <c r="AN6" s="31" t="s">
        <v>151</v>
      </c>
      <c r="AO6" s="31" t="s">
        <v>150</v>
      </c>
      <c r="AP6" s="31" t="s">
        <v>151</v>
      </c>
      <c r="AQ6" s="31" t="s">
        <v>151</v>
      </c>
      <c r="AR6" s="31" t="s">
        <v>150</v>
      </c>
      <c r="AS6" s="31" t="s">
        <v>151</v>
      </c>
      <c r="AT6" s="31" t="s">
        <v>151</v>
      </c>
      <c r="AU6" s="31" t="s">
        <v>151</v>
      </c>
      <c r="AV6" s="31" t="s">
        <v>151</v>
      </c>
      <c r="AW6" s="31" t="s">
        <v>147</v>
      </c>
      <c r="AX6" s="31" t="s">
        <v>151</v>
      </c>
      <c r="AY6" s="31" t="s">
        <v>150</v>
      </c>
    </row>
    <row r="7" spans="1:51" ht="15" customHeight="1" x14ac:dyDescent="0.25">
      <c r="A7" s="31" t="s">
        <v>199</v>
      </c>
      <c r="B7" s="31" t="s">
        <v>200</v>
      </c>
      <c r="C7" s="32">
        <v>51</v>
      </c>
      <c r="D7" s="31" t="s">
        <v>132</v>
      </c>
      <c r="E7" s="31" t="s">
        <v>201</v>
      </c>
      <c r="F7" s="33" t="s">
        <v>202</v>
      </c>
      <c r="G7" s="31" t="s">
        <v>194</v>
      </c>
      <c r="H7" s="31" t="s">
        <v>135</v>
      </c>
      <c r="I7" s="31" t="s">
        <v>175</v>
      </c>
      <c r="J7" s="31" t="s">
        <v>203</v>
      </c>
      <c r="K7" s="31" t="s">
        <v>137</v>
      </c>
      <c r="L7" s="31" t="s">
        <v>135</v>
      </c>
      <c r="M7" s="34">
        <v>16</v>
      </c>
      <c r="N7" s="34">
        <v>15.8</v>
      </c>
      <c r="O7" s="35">
        <v>-1.53</v>
      </c>
      <c r="P7" s="35">
        <v>-1.55</v>
      </c>
      <c r="Q7" s="32">
        <v>90</v>
      </c>
      <c r="R7" s="35">
        <v>-2.0499999999999998</v>
      </c>
      <c r="S7" s="35">
        <v>-1.67</v>
      </c>
      <c r="T7" s="32">
        <v>96</v>
      </c>
      <c r="U7" s="31" t="s">
        <v>204</v>
      </c>
      <c r="V7" s="31" t="s">
        <v>139</v>
      </c>
      <c r="W7" s="31" t="s">
        <v>140</v>
      </c>
      <c r="X7" s="31" t="s">
        <v>141</v>
      </c>
      <c r="Y7" s="31" t="s">
        <v>162</v>
      </c>
      <c r="Z7" s="31" t="s">
        <v>143</v>
      </c>
      <c r="AA7" s="31"/>
      <c r="AB7" s="31" t="s">
        <v>205</v>
      </c>
      <c r="AC7" s="31" t="s">
        <v>206</v>
      </c>
      <c r="AD7" s="31" t="s">
        <v>146</v>
      </c>
      <c r="AE7" s="31" t="s">
        <v>146</v>
      </c>
      <c r="AF7" s="31" t="s">
        <v>167</v>
      </c>
      <c r="AG7" s="31" t="s">
        <v>168</v>
      </c>
      <c r="AH7" s="31" t="s">
        <v>149</v>
      </c>
      <c r="AI7" s="31" t="s">
        <v>149</v>
      </c>
      <c r="AJ7" s="31" t="s">
        <v>150</v>
      </c>
      <c r="AK7" s="31" t="s">
        <v>151</v>
      </c>
      <c r="AL7" s="31" t="s">
        <v>150</v>
      </c>
      <c r="AM7" s="31" t="s">
        <v>151</v>
      </c>
      <c r="AN7" s="31" t="s">
        <v>150</v>
      </c>
      <c r="AO7" s="31" t="s">
        <v>151</v>
      </c>
      <c r="AP7" s="31" t="s">
        <v>150</v>
      </c>
      <c r="AQ7" s="31" t="s">
        <v>151</v>
      </c>
      <c r="AR7" s="31" t="s">
        <v>150</v>
      </c>
      <c r="AS7" s="31" t="s">
        <v>151</v>
      </c>
      <c r="AT7" s="31" t="s">
        <v>151</v>
      </c>
      <c r="AU7" s="31" t="s">
        <v>150</v>
      </c>
      <c r="AV7" s="31" t="s">
        <v>151</v>
      </c>
      <c r="AW7" s="31" t="s">
        <v>150</v>
      </c>
      <c r="AX7" s="31" t="s">
        <v>151</v>
      </c>
      <c r="AY7" s="31" t="s">
        <v>150</v>
      </c>
    </row>
    <row r="8" spans="1:51" ht="15" customHeight="1" x14ac:dyDescent="0.25">
      <c r="A8" s="31" t="s">
        <v>207</v>
      </c>
      <c r="B8" s="31" t="s">
        <v>208</v>
      </c>
      <c r="C8" s="32">
        <v>44</v>
      </c>
      <c r="D8" s="31" t="s">
        <v>132</v>
      </c>
      <c r="E8" s="31" t="s">
        <v>183</v>
      </c>
      <c r="F8" s="33" t="s">
        <v>209</v>
      </c>
      <c r="G8" s="31" t="s">
        <v>175</v>
      </c>
      <c r="H8" s="31" t="s">
        <v>135</v>
      </c>
      <c r="I8" s="31" t="s">
        <v>194</v>
      </c>
      <c r="J8" s="31" t="s">
        <v>194</v>
      </c>
      <c r="K8" s="31" t="s">
        <v>135</v>
      </c>
      <c r="L8" s="31" t="s">
        <v>158</v>
      </c>
      <c r="M8" s="34">
        <v>9.9</v>
      </c>
      <c r="N8" s="34">
        <v>10.4</v>
      </c>
      <c r="O8" s="35">
        <v>-1.75</v>
      </c>
      <c r="P8" s="35">
        <v>-0.35</v>
      </c>
      <c r="Q8" s="32">
        <v>170</v>
      </c>
      <c r="R8" s="35">
        <v>-1.99</v>
      </c>
      <c r="S8" s="35">
        <v>-0.09</v>
      </c>
      <c r="T8" s="32">
        <v>175</v>
      </c>
      <c r="U8" s="31" t="s">
        <v>210</v>
      </c>
      <c r="V8" s="31" t="s">
        <v>211</v>
      </c>
      <c r="W8" s="31" t="s">
        <v>140</v>
      </c>
      <c r="X8" s="31" t="s">
        <v>161</v>
      </c>
      <c r="Y8" s="31" t="s">
        <v>147</v>
      </c>
      <c r="Z8" s="31" t="s">
        <v>212</v>
      </c>
      <c r="AA8" s="31" t="s">
        <v>213</v>
      </c>
      <c r="AB8" s="31" t="s">
        <v>144</v>
      </c>
      <c r="AC8" s="31" t="s">
        <v>166</v>
      </c>
      <c r="AD8" s="31" t="s">
        <v>146</v>
      </c>
      <c r="AE8" s="31" t="s">
        <v>147</v>
      </c>
      <c r="AF8" s="31" t="s">
        <v>148</v>
      </c>
      <c r="AG8" s="31" t="s">
        <v>168</v>
      </c>
      <c r="AH8" s="31" t="s">
        <v>149</v>
      </c>
      <c r="AI8" s="31" t="s">
        <v>149</v>
      </c>
      <c r="AJ8" s="31" t="s">
        <v>151</v>
      </c>
      <c r="AK8" s="31" t="s">
        <v>151</v>
      </c>
      <c r="AL8" s="31" t="s">
        <v>150</v>
      </c>
      <c r="AM8" s="31" t="s">
        <v>151</v>
      </c>
      <c r="AN8" s="31" t="s">
        <v>151</v>
      </c>
      <c r="AO8" s="31" t="s">
        <v>150</v>
      </c>
      <c r="AP8" s="31" t="s">
        <v>150</v>
      </c>
      <c r="AQ8" s="31" t="s">
        <v>147</v>
      </c>
      <c r="AR8" s="31" t="s">
        <v>150</v>
      </c>
      <c r="AS8" s="31" t="s">
        <v>151</v>
      </c>
      <c r="AT8" s="31" t="s">
        <v>151</v>
      </c>
      <c r="AU8" s="31" t="s">
        <v>151</v>
      </c>
      <c r="AV8" s="31" t="s">
        <v>151</v>
      </c>
      <c r="AW8" s="31" t="s">
        <v>150</v>
      </c>
      <c r="AX8" s="31" t="s">
        <v>151</v>
      </c>
      <c r="AY8" s="31" t="s">
        <v>151</v>
      </c>
    </row>
    <row r="9" spans="1:51" ht="15" customHeight="1" x14ac:dyDescent="0.25">
      <c r="A9" s="31" t="s">
        <v>214</v>
      </c>
      <c r="B9" s="31" t="s">
        <v>215</v>
      </c>
      <c r="C9" s="32">
        <v>22</v>
      </c>
      <c r="D9" s="31" t="s">
        <v>132</v>
      </c>
      <c r="E9" s="31" t="s">
        <v>216</v>
      </c>
      <c r="F9" s="33" t="s">
        <v>217</v>
      </c>
      <c r="G9" s="31" t="s">
        <v>194</v>
      </c>
      <c r="H9" s="31" t="s">
        <v>137</v>
      </c>
      <c r="I9" s="31" t="s">
        <v>137</v>
      </c>
      <c r="J9" s="31" t="s">
        <v>137</v>
      </c>
      <c r="K9" s="31" t="s">
        <v>137</v>
      </c>
      <c r="L9" s="31" t="s">
        <v>137</v>
      </c>
      <c r="M9" s="34">
        <v>14.5</v>
      </c>
      <c r="N9" s="34">
        <v>15</v>
      </c>
      <c r="O9" s="35">
        <v>1.79</v>
      </c>
      <c r="P9" s="35">
        <v>-1.07</v>
      </c>
      <c r="Q9" s="32">
        <v>45</v>
      </c>
      <c r="R9" s="35">
        <v>1.62</v>
      </c>
      <c r="S9" s="35">
        <v>-1.35</v>
      </c>
      <c r="T9" s="32">
        <v>37</v>
      </c>
      <c r="U9" s="31" t="s">
        <v>218</v>
      </c>
      <c r="V9" s="31" t="s">
        <v>211</v>
      </c>
      <c r="W9" s="31" t="s">
        <v>161</v>
      </c>
      <c r="X9" s="31" t="s">
        <v>147</v>
      </c>
      <c r="Y9" s="31" t="s">
        <v>219</v>
      </c>
      <c r="Z9" s="31" t="s">
        <v>143</v>
      </c>
      <c r="AA9" s="31"/>
      <c r="AB9" s="31" t="s">
        <v>220</v>
      </c>
      <c r="AC9" s="31" t="s">
        <v>166</v>
      </c>
      <c r="AD9" s="31" t="s">
        <v>147</v>
      </c>
      <c r="AE9" s="31" t="s">
        <v>221</v>
      </c>
      <c r="AF9" s="31" t="s">
        <v>167</v>
      </c>
      <c r="AG9" s="31" t="s">
        <v>148</v>
      </c>
      <c r="AH9" s="31" t="s">
        <v>149</v>
      </c>
      <c r="AI9" s="31" t="s">
        <v>149</v>
      </c>
      <c r="AJ9" s="31" t="s">
        <v>150</v>
      </c>
      <c r="AK9" s="31" t="s">
        <v>151</v>
      </c>
      <c r="AL9" s="31" t="s">
        <v>151</v>
      </c>
      <c r="AM9" s="31" t="s">
        <v>147</v>
      </c>
      <c r="AN9" s="31" t="s">
        <v>151</v>
      </c>
      <c r="AO9" s="31" t="s">
        <v>151</v>
      </c>
      <c r="AP9" s="31" t="s">
        <v>150</v>
      </c>
      <c r="AQ9" s="31" t="s">
        <v>151</v>
      </c>
      <c r="AR9" s="31" t="s">
        <v>150</v>
      </c>
      <c r="AS9" s="31" t="s">
        <v>151</v>
      </c>
      <c r="AT9" s="31" t="s">
        <v>151</v>
      </c>
      <c r="AU9" s="31" t="s">
        <v>151</v>
      </c>
      <c r="AV9" s="31" t="s">
        <v>150</v>
      </c>
      <c r="AW9" s="31" t="s">
        <v>151</v>
      </c>
      <c r="AX9" s="31" t="s">
        <v>150</v>
      </c>
      <c r="AY9" s="31" t="s">
        <v>150</v>
      </c>
    </row>
    <row r="10" spans="1:51" ht="15" customHeight="1" x14ac:dyDescent="0.25">
      <c r="A10" s="31" t="s">
        <v>222</v>
      </c>
      <c r="B10" s="31" t="s">
        <v>223</v>
      </c>
      <c r="C10" s="32">
        <v>52</v>
      </c>
      <c r="D10" s="31" t="s">
        <v>132</v>
      </c>
      <c r="E10" s="31" t="s">
        <v>133</v>
      </c>
      <c r="F10" s="33" t="s">
        <v>224</v>
      </c>
      <c r="G10" s="31" t="s">
        <v>158</v>
      </c>
      <c r="H10" s="31" t="s">
        <v>174</v>
      </c>
      <c r="I10" s="31" t="s">
        <v>194</v>
      </c>
      <c r="J10" s="31" t="s">
        <v>137</v>
      </c>
      <c r="K10" s="31" t="s">
        <v>174</v>
      </c>
      <c r="L10" s="31" t="s">
        <v>175</v>
      </c>
      <c r="M10" s="34">
        <v>19.8</v>
      </c>
      <c r="N10" s="34">
        <v>19.7</v>
      </c>
      <c r="O10" s="35">
        <v>1.86</v>
      </c>
      <c r="P10" s="35">
        <v>-1.48</v>
      </c>
      <c r="Q10" s="32">
        <v>150</v>
      </c>
      <c r="R10" s="35">
        <v>1.99</v>
      </c>
      <c r="S10" s="35">
        <v>-1.39</v>
      </c>
      <c r="T10" s="32">
        <v>159</v>
      </c>
      <c r="U10" s="31" t="s">
        <v>225</v>
      </c>
      <c r="V10" s="31" t="s">
        <v>177</v>
      </c>
      <c r="W10" s="31" t="s">
        <v>140</v>
      </c>
      <c r="X10" s="31" t="s">
        <v>161</v>
      </c>
      <c r="Y10" s="31" t="s">
        <v>196</v>
      </c>
      <c r="Z10" s="31" t="s">
        <v>143</v>
      </c>
      <c r="AA10" s="31"/>
      <c r="AB10" s="31" t="s">
        <v>205</v>
      </c>
      <c r="AC10" s="31" t="s">
        <v>226</v>
      </c>
      <c r="AD10" s="31" t="s">
        <v>147</v>
      </c>
      <c r="AE10" s="31" t="s">
        <v>147</v>
      </c>
      <c r="AF10" s="31" t="s">
        <v>148</v>
      </c>
      <c r="AG10" s="31" t="s">
        <v>148</v>
      </c>
      <c r="AH10" s="31" t="s">
        <v>149</v>
      </c>
      <c r="AI10" s="31" t="s">
        <v>149</v>
      </c>
      <c r="AJ10" s="31" t="s">
        <v>151</v>
      </c>
      <c r="AK10" s="31" t="s">
        <v>151</v>
      </c>
      <c r="AL10" s="31" t="s">
        <v>151</v>
      </c>
      <c r="AM10" s="31" t="s">
        <v>151</v>
      </c>
      <c r="AN10" s="31" t="s">
        <v>151</v>
      </c>
      <c r="AO10" s="31" t="s">
        <v>150</v>
      </c>
      <c r="AP10" s="31" t="s">
        <v>147</v>
      </c>
      <c r="AQ10" s="31" t="s">
        <v>151</v>
      </c>
      <c r="AR10" s="31" t="s">
        <v>150</v>
      </c>
      <c r="AS10" s="31" t="s">
        <v>151</v>
      </c>
      <c r="AT10" s="31" t="s">
        <v>151</v>
      </c>
      <c r="AU10" s="31" t="s">
        <v>150</v>
      </c>
      <c r="AV10" s="31" t="s">
        <v>150</v>
      </c>
      <c r="AW10" s="31" t="s">
        <v>151</v>
      </c>
      <c r="AX10" s="31" t="s">
        <v>151</v>
      </c>
      <c r="AY10" s="31" t="s">
        <v>150</v>
      </c>
    </row>
    <row r="11" spans="1:51" ht="15" customHeight="1" x14ac:dyDescent="0.25">
      <c r="A11" s="31" t="s">
        <v>227</v>
      </c>
      <c r="B11" s="31" t="s">
        <v>228</v>
      </c>
      <c r="C11" s="32">
        <v>37</v>
      </c>
      <c r="D11" s="31" t="s">
        <v>132</v>
      </c>
      <c r="E11" s="31" t="s">
        <v>229</v>
      </c>
      <c r="F11" s="33" t="s">
        <v>230</v>
      </c>
      <c r="G11" s="31" t="s">
        <v>137</v>
      </c>
      <c r="H11" s="31" t="s">
        <v>194</v>
      </c>
      <c r="I11" s="31" t="s">
        <v>194</v>
      </c>
      <c r="J11" s="31" t="s">
        <v>135</v>
      </c>
      <c r="K11" s="31" t="s">
        <v>135</v>
      </c>
      <c r="L11" s="31" t="s">
        <v>175</v>
      </c>
      <c r="M11" s="34">
        <v>20.5</v>
      </c>
      <c r="N11" s="34">
        <v>16.8</v>
      </c>
      <c r="O11" s="35">
        <v>1.39</v>
      </c>
      <c r="P11" s="35">
        <v>-1.17</v>
      </c>
      <c r="Q11" s="32">
        <v>170</v>
      </c>
      <c r="R11" s="35">
        <v>1.42</v>
      </c>
      <c r="S11" s="35">
        <v>-1.1499999999999999</v>
      </c>
      <c r="T11" s="32">
        <v>158</v>
      </c>
      <c r="U11" s="31" t="s">
        <v>231</v>
      </c>
      <c r="V11" s="31" t="s">
        <v>232</v>
      </c>
      <c r="W11" s="31" t="s">
        <v>161</v>
      </c>
      <c r="X11" s="31" t="s">
        <v>233</v>
      </c>
      <c r="Y11" s="31" t="s">
        <v>196</v>
      </c>
      <c r="Z11" s="31" t="s">
        <v>143</v>
      </c>
      <c r="AA11" s="31"/>
      <c r="AB11" s="31" t="s">
        <v>234</v>
      </c>
      <c r="AC11" s="31" t="s">
        <v>235</v>
      </c>
      <c r="AD11" s="31" t="s">
        <v>146</v>
      </c>
      <c r="AE11" s="31" t="s">
        <v>221</v>
      </c>
      <c r="AF11" s="31" t="s">
        <v>167</v>
      </c>
      <c r="AG11" s="31" t="s">
        <v>168</v>
      </c>
      <c r="AH11" s="31" t="s">
        <v>149</v>
      </c>
      <c r="AI11" s="31" t="s">
        <v>169</v>
      </c>
      <c r="AJ11" s="31" t="s">
        <v>150</v>
      </c>
      <c r="AK11" s="31" t="s">
        <v>151</v>
      </c>
      <c r="AL11" s="31" t="s">
        <v>150</v>
      </c>
      <c r="AM11" s="31" t="s">
        <v>151</v>
      </c>
      <c r="AN11" s="31" t="s">
        <v>151</v>
      </c>
      <c r="AO11" s="31" t="s">
        <v>150</v>
      </c>
      <c r="AP11" s="31" t="s">
        <v>150</v>
      </c>
      <c r="AQ11" s="31" t="s">
        <v>151</v>
      </c>
      <c r="AR11" s="31" t="s">
        <v>150</v>
      </c>
      <c r="AS11" s="31" t="s">
        <v>151</v>
      </c>
      <c r="AT11" s="31" t="s">
        <v>151</v>
      </c>
      <c r="AU11" s="31" t="s">
        <v>147</v>
      </c>
      <c r="AV11" s="31" t="s">
        <v>151</v>
      </c>
      <c r="AW11" s="31" t="s">
        <v>151</v>
      </c>
      <c r="AX11" s="31" t="s">
        <v>151</v>
      </c>
      <c r="AY11" s="31" t="s">
        <v>151</v>
      </c>
    </row>
    <row r="12" spans="1:51" ht="15" customHeight="1" x14ac:dyDescent="0.25">
      <c r="A12" s="31" t="s">
        <v>236</v>
      </c>
      <c r="B12" s="31" t="s">
        <v>237</v>
      </c>
      <c r="C12" s="32">
        <v>34</v>
      </c>
      <c r="D12" s="31" t="s">
        <v>132</v>
      </c>
      <c r="E12" s="31" t="s">
        <v>238</v>
      </c>
      <c r="F12" s="33" t="s">
        <v>239</v>
      </c>
      <c r="G12" s="31" t="s">
        <v>156</v>
      </c>
      <c r="H12" s="31" t="s">
        <v>194</v>
      </c>
      <c r="I12" s="31" t="s">
        <v>137</v>
      </c>
      <c r="J12" s="31" t="s">
        <v>135</v>
      </c>
      <c r="K12" s="31" t="s">
        <v>194</v>
      </c>
      <c r="L12" s="31" t="s">
        <v>137</v>
      </c>
      <c r="M12" s="34">
        <v>16.600000000000001</v>
      </c>
      <c r="N12" s="34">
        <v>18.7</v>
      </c>
      <c r="O12" s="35">
        <v>-2.1</v>
      </c>
      <c r="P12" s="35">
        <v>-1.35</v>
      </c>
      <c r="Q12" s="32">
        <v>105</v>
      </c>
      <c r="R12" s="35">
        <v>-2.38</v>
      </c>
      <c r="S12" s="35">
        <v>-1.1200000000000001</v>
      </c>
      <c r="T12" s="32">
        <v>106</v>
      </c>
      <c r="U12" s="31" t="s">
        <v>240</v>
      </c>
      <c r="V12" s="31" t="s">
        <v>160</v>
      </c>
      <c r="W12" s="31" t="s">
        <v>140</v>
      </c>
      <c r="X12" s="31" t="s">
        <v>161</v>
      </c>
      <c r="Y12" s="31" t="s">
        <v>162</v>
      </c>
      <c r="Z12" s="31" t="s">
        <v>241</v>
      </c>
      <c r="AA12" s="31" t="s">
        <v>242</v>
      </c>
      <c r="AB12" s="31" t="s">
        <v>144</v>
      </c>
      <c r="AC12" s="31" t="s">
        <v>235</v>
      </c>
      <c r="AD12" s="31" t="s">
        <v>146</v>
      </c>
      <c r="AE12" s="31" t="s">
        <v>221</v>
      </c>
      <c r="AF12" s="31" t="s">
        <v>148</v>
      </c>
      <c r="AG12" s="31" t="s">
        <v>148</v>
      </c>
      <c r="AH12" s="31" t="s">
        <v>149</v>
      </c>
      <c r="AI12" s="31" t="s">
        <v>149</v>
      </c>
      <c r="AJ12" s="31" t="s">
        <v>151</v>
      </c>
      <c r="AK12" s="31" t="s">
        <v>151</v>
      </c>
      <c r="AL12" s="31" t="s">
        <v>150</v>
      </c>
      <c r="AM12" s="31" t="s">
        <v>150</v>
      </c>
      <c r="AN12" s="31" t="s">
        <v>151</v>
      </c>
      <c r="AO12" s="31" t="s">
        <v>150</v>
      </c>
      <c r="AP12" s="31" t="s">
        <v>147</v>
      </c>
      <c r="AQ12" s="31" t="s">
        <v>151</v>
      </c>
      <c r="AR12" s="31" t="s">
        <v>150</v>
      </c>
      <c r="AS12" s="31" t="s">
        <v>151</v>
      </c>
      <c r="AT12" s="31" t="s">
        <v>151</v>
      </c>
      <c r="AU12" s="31" t="s">
        <v>147</v>
      </c>
      <c r="AV12" s="31" t="s">
        <v>151</v>
      </c>
      <c r="AW12" s="31" t="s">
        <v>151</v>
      </c>
      <c r="AX12" s="31" t="s">
        <v>151</v>
      </c>
      <c r="AY12" s="31" t="s">
        <v>151</v>
      </c>
    </row>
    <row r="13" spans="1:51" ht="15" customHeight="1" x14ac:dyDescent="0.25">
      <c r="A13" s="31" t="s">
        <v>243</v>
      </c>
      <c r="B13" s="31" t="s">
        <v>244</v>
      </c>
      <c r="C13" s="32">
        <v>28</v>
      </c>
      <c r="D13" s="31" t="s">
        <v>132</v>
      </c>
      <c r="E13" s="31" t="s">
        <v>245</v>
      </c>
      <c r="F13" s="33" t="s">
        <v>246</v>
      </c>
      <c r="G13" s="31" t="s">
        <v>194</v>
      </c>
      <c r="H13" s="31" t="s">
        <v>194</v>
      </c>
      <c r="I13" s="31" t="s">
        <v>156</v>
      </c>
      <c r="J13" s="31" t="s">
        <v>137</v>
      </c>
      <c r="K13" s="31" t="s">
        <v>135</v>
      </c>
      <c r="L13" s="31" t="s">
        <v>194</v>
      </c>
      <c r="M13" s="34">
        <v>17.100000000000001</v>
      </c>
      <c r="N13" s="34">
        <v>17.2</v>
      </c>
      <c r="O13" s="35">
        <v>1.77</v>
      </c>
      <c r="P13" s="35">
        <v>-1.19</v>
      </c>
      <c r="Q13" s="32">
        <v>60</v>
      </c>
      <c r="R13" s="35">
        <v>1.52</v>
      </c>
      <c r="S13" s="35">
        <v>-1.29</v>
      </c>
      <c r="T13" s="32">
        <v>51</v>
      </c>
      <c r="U13" s="31" t="s">
        <v>247</v>
      </c>
      <c r="V13" s="31" t="s">
        <v>186</v>
      </c>
      <c r="W13" s="31" t="s">
        <v>140</v>
      </c>
      <c r="X13" s="31" t="s">
        <v>141</v>
      </c>
      <c r="Y13" s="31" t="s">
        <v>196</v>
      </c>
      <c r="Z13" s="31" t="s">
        <v>178</v>
      </c>
      <c r="AA13" s="31" t="s">
        <v>248</v>
      </c>
      <c r="AB13" s="31" t="s">
        <v>220</v>
      </c>
      <c r="AC13" s="31" t="s">
        <v>180</v>
      </c>
      <c r="AD13" s="31" t="s">
        <v>147</v>
      </c>
      <c r="AE13" s="31" t="s">
        <v>221</v>
      </c>
      <c r="AF13" s="31" t="s">
        <v>148</v>
      </c>
      <c r="AG13" s="31" t="s">
        <v>168</v>
      </c>
      <c r="AH13" s="31" t="s">
        <v>149</v>
      </c>
      <c r="AI13" s="31" t="s">
        <v>169</v>
      </c>
      <c r="AJ13" s="31" t="s">
        <v>150</v>
      </c>
      <c r="AK13" s="31" t="s">
        <v>151</v>
      </c>
      <c r="AL13" s="31" t="s">
        <v>151</v>
      </c>
      <c r="AM13" s="31" t="s">
        <v>151</v>
      </c>
      <c r="AN13" s="31" t="s">
        <v>147</v>
      </c>
      <c r="AO13" s="31" t="s">
        <v>150</v>
      </c>
      <c r="AP13" s="31" t="s">
        <v>150</v>
      </c>
      <c r="AQ13" s="31" t="s">
        <v>151</v>
      </c>
      <c r="AR13" s="31" t="s">
        <v>147</v>
      </c>
      <c r="AS13" s="31" t="s">
        <v>151</v>
      </c>
      <c r="AT13" s="31" t="s">
        <v>150</v>
      </c>
      <c r="AU13" s="31" t="s">
        <v>150</v>
      </c>
      <c r="AV13" s="31" t="s">
        <v>151</v>
      </c>
      <c r="AW13" s="31" t="s">
        <v>151</v>
      </c>
      <c r="AX13" s="31" t="s">
        <v>151</v>
      </c>
      <c r="AY13" s="31" t="s">
        <v>150</v>
      </c>
    </row>
    <row r="14" spans="1:51" ht="15" customHeight="1" x14ac:dyDescent="0.25">
      <c r="A14" s="31" t="s">
        <v>249</v>
      </c>
      <c r="B14" s="31" t="s">
        <v>250</v>
      </c>
      <c r="C14" s="32">
        <v>43</v>
      </c>
      <c r="D14" s="31" t="s">
        <v>251</v>
      </c>
      <c r="E14" s="31" t="s">
        <v>252</v>
      </c>
      <c r="F14" s="33" t="s">
        <v>253</v>
      </c>
      <c r="G14" s="31" t="s">
        <v>194</v>
      </c>
      <c r="H14" s="31" t="s">
        <v>137</v>
      </c>
      <c r="I14" s="31" t="s">
        <v>193</v>
      </c>
      <c r="J14" s="31" t="s">
        <v>136</v>
      </c>
      <c r="K14" s="31" t="s">
        <v>136</v>
      </c>
      <c r="L14" s="31" t="s">
        <v>194</v>
      </c>
      <c r="M14" s="34">
        <v>16.3</v>
      </c>
      <c r="N14" s="34">
        <v>16.3</v>
      </c>
      <c r="O14" s="35">
        <v>-1.36</v>
      </c>
      <c r="P14" s="35">
        <v>-1.28</v>
      </c>
      <c r="Q14" s="32">
        <v>75</v>
      </c>
      <c r="R14" s="35">
        <v>-1.86</v>
      </c>
      <c r="S14" s="35">
        <v>-1.37</v>
      </c>
      <c r="T14" s="32">
        <v>70</v>
      </c>
      <c r="U14" s="31" t="s">
        <v>254</v>
      </c>
      <c r="V14" s="31" t="s">
        <v>160</v>
      </c>
      <c r="W14" s="31" t="s">
        <v>140</v>
      </c>
      <c r="X14" s="31" t="s">
        <v>147</v>
      </c>
      <c r="Y14" s="31" t="s">
        <v>219</v>
      </c>
      <c r="Z14" s="31" t="s">
        <v>143</v>
      </c>
      <c r="AA14" s="31"/>
      <c r="AB14" s="31" t="s">
        <v>220</v>
      </c>
      <c r="AC14" s="31" t="s">
        <v>235</v>
      </c>
      <c r="AD14" s="31" t="s">
        <v>146</v>
      </c>
      <c r="AE14" s="31" t="s">
        <v>221</v>
      </c>
      <c r="AF14" s="31" t="s">
        <v>168</v>
      </c>
      <c r="AG14" s="31" t="s">
        <v>168</v>
      </c>
      <c r="AH14" s="31" t="s">
        <v>149</v>
      </c>
      <c r="AI14" s="31" t="s">
        <v>149</v>
      </c>
      <c r="AJ14" s="31" t="s">
        <v>151</v>
      </c>
      <c r="AK14" s="31" t="s">
        <v>151</v>
      </c>
      <c r="AL14" s="31" t="s">
        <v>150</v>
      </c>
      <c r="AM14" s="31" t="s">
        <v>150</v>
      </c>
      <c r="AN14" s="31" t="s">
        <v>151</v>
      </c>
      <c r="AO14" s="31" t="s">
        <v>150</v>
      </c>
      <c r="AP14" s="31" t="s">
        <v>150</v>
      </c>
      <c r="AQ14" s="31" t="s">
        <v>151</v>
      </c>
      <c r="AR14" s="31" t="s">
        <v>151</v>
      </c>
      <c r="AS14" s="31" t="s">
        <v>151</v>
      </c>
      <c r="AT14" s="31" t="s">
        <v>151</v>
      </c>
      <c r="AU14" s="31" t="s">
        <v>151</v>
      </c>
      <c r="AV14" s="31" t="s">
        <v>150</v>
      </c>
      <c r="AW14" s="31" t="s">
        <v>151</v>
      </c>
      <c r="AX14" s="31" t="s">
        <v>151</v>
      </c>
      <c r="AY14" s="31" t="s">
        <v>151</v>
      </c>
    </row>
    <row r="15" spans="1:51" ht="15" customHeight="1" x14ac:dyDescent="0.25">
      <c r="A15" s="31" t="s">
        <v>255</v>
      </c>
      <c r="B15" s="31" t="s">
        <v>256</v>
      </c>
      <c r="C15" s="32">
        <v>35</v>
      </c>
      <c r="D15" s="31" t="s">
        <v>132</v>
      </c>
      <c r="E15" s="31" t="s">
        <v>229</v>
      </c>
      <c r="F15" s="33" t="s">
        <v>257</v>
      </c>
      <c r="G15" s="31" t="s">
        <v>156</v>
      </c>
      <c r="H15" s="31" t="s">
        <v>135</v>
      </c>
      <c r="I15" s="31" t="s">
        <v>136</v>
      </c>
      <c r="J15" s="31" t="s">
        <v>203</v>
      </c>
      <c r="K15" s="31" t="s">
        <v>137</v>
      </c>
      <c r="L15" s="31" t="s">
        <v>137</v>
      </c>
      <c r="M15" s="34">
        <v>16.8</v>
      </c>
      <c r="N15" s="34">
        <v>19.399999999999999</v>
      </c>
      <c r="O15" s="35">
        <v>-0.3</v>
      </c>
      <c r="P15" s="35">
        <v>-0.97</v>
      </c>
      <c r="Q15" s="32">
        <v>105</v>
      </c>
      <c r="R15" s="35">
        <v>-0.21</v>
      </c>
      <c r="S15" s="35">
        <v>-1.45</v>
      </c>
      <c r="T15" s="32">
        <v>104</v>
      </c>
      <c r="U15" s="31" t="s">
        <v>258</v>
      </c>
      <c r="V15" s="31" t="s">
        <v>259</v>
      </c>
      <c r="W15" s="31" t="s">
        <v>187</v>
      </c>
      <c r="X15" s="31" t="s">
        <v>161</v>
      </c>
      <c r="Y15" s="31" t="s">
        <v>162</v>
      </c>
      <c r="Z15" s="31" t="s">
        <v>143</v>
      </c>
      <c r="AA15" s="31"/>
      <c r="AB15" s="31" t="s">
        <v>165</v>
      </c>
      <c r="AC15" s="31" t="s">
        <v>198</v>
      </c>
      <c r="AD15" s="31" t="s">
        <v>147</v>
      </c>
      <c r="AE15" s="31" t="s">
        <v>221</v>
      </c>
      <c r="AF15" s="31" t="s">
        <v>168</v>
      </c>
      <c r="AG15" s="31" t="s">
        <v>148</v>
      </c>
      <c r="AH15" s="31" t="s">
        <v>149</v>
      </c>
      <c r="AI15" s="31" t="s">
        <v>149</v>
      </c>
      <c r="AJ15" s="31" t="s">
        <v>150</v>
      </c>
      <c r="AK15" s="31" t="s">
        <v>151</v>
      </c>
      <c r="AL15" s="31" t="s">
        <v>151</v>
      </c>
      <c r="AM15" s="31" t="s">
        <v>151</v>
      </c>
      <c r="AN15" s="31" t="s">
        <v>150</v>
      </c>
      <c r="AO15" s="31" t="s">
        <v>150</v>
      </c>
      <c r="AP15" s="31" t="s">
        <v>150</v>
      </c>
      <c r="AQ15" s="31" t="s">
        <v>151</v>
      </c>
      <c r="AR15" s="31" t="s">
        <v>150</v>
      </c>
      <c r="AS15" s="31" t="s">
        <v>151</v>
      </c>
      <c r="AT15" s="31" t="s">
        <v>151</v>
      </c>
      <c r="AU15" s="31" t="s">
        <v>151</v>
      </c>
      <c r="AV15" s="31" t="s">
        <v>151</v>
      </c>
      <c r="AW15" s="31" t="s">
        <v>151</v>
      </c>
      <c r="AX15" s="31" t="s">
        <v>151</v>
      </c>
      <c r="AY15" s="31" t="s">
        <v>150</v>
      </c>
    </row>
    <row r="16" spans="1:51" ht="15" customHeight="1" x14ac:dyDescent="0.25">
      <c r="A16" s="31" t="s">
        <v>260</v>
      </c>
      <c r="B16" s="31" t="s">
        <v>261</v>
      </c>
      <c r="C16" s="32">
        <v>39</v>
      </c>
      <c r="D16" s="31" t="s">
        <v>251</v>
      </c>
      <c r="E16" s="31" t="s">
        <v>262</v>
      </c>
      <c r="F16" s="33" t="s">
        <v>263</v>
      </c>
      <c r="G16" s="31" t="s">
        <v>136</v>
      </c>
      <c r="H16" s="31" t="s">
        <v>264</v>
      </c>
      <c r="I16" s="31" t="s">
        <v>158</v>
      </c>
      <c r="J16" s="31" t="s">
        <v>137</v>
      </c>
      <c r="K16" s="31" t="s">
        <v>194</v>
      </c>
      <c r="L16" s="31" t="s">
        <v>158</v>
      </c>
      <c r="M16" s="34">
        <v>23.4</v>
      </c>
      <c r="N16" s="34">
        <v>23.1</v>
      </c>
      <c r="O16" s="35">
        <v>0.03</v>
      </c>
      <c r="P16" s="35">
        <v>-1.95</v>
      </c>
      <c r="Q16" s="32">
        <v>90</v>
      </c>
      <c r="R16" s="35">
        <v>0.02</v>
      </c>
      <c r="S16" s="35">
        <v>-1.66</v>
      </c>
      <c r="T16" s="32">
        <v>94</v>
      </c>
      <c r="U16" s="31" t="s">
        <v>265</v>
      </c>
      <c r="V16" s="31" t="s">
        <v>160</v>
      </c>
      <c r="W16" s="31" t="s">
        <v>161</v>
      </c>
      <c r="X16" s="31" t="s">
        <v>161</v>
      </c>
      <c r="Y16" s="31" t="s">
        <v>142</v>
      </c>
      <c r="Z16" s="31" t="s">
        <v>143</v>
      </c>
      <c r="AA16" s="31"/>
      <c r="AB16" s="31" t="s">
        <v>266</v>
      </c>
      <c r="AC16" s="31" t="s">
        <v>267</v>
      </c>
      <c r="AD16" s="31" t="s">
        <v>221</v>
      </c>
      <c r="AE16" s="31" t="s">
        <v>221</v>
      </c>
      <c r="AF16" s="31" t="s">
        <v>148</v>
      </c>
      <c r="AG16" s="31" t="s">
        <v>167</v>
      </c>
      <c r="AH16" s="31" t="s">
        <v>169</v>
      </c>
      <c r="AI16" s="31" t="s">
        <v>149</v>
      </c>
      <c r="AJ16" s="31" t="s">
        <v>150</v>
      </c>
      <c r="AK16" s="31" t="s">
        <v>151</v>
      </c>
      <c r="AL16" s="31" t="s">
        <v>151</v>
      </c>
      <c r="AM16" s="31" t="s">
        <v>151</v>
      </c>
      <c r="AN16" s="31" t="s">
        <v>151</v>
      </c>
      <c r="AO16" s="31" t="s">
        <v>150</v>
      </c>
      <c r="AP16" s="31" t="s">
        <v>150</v>
      </c>
      <c r="AQ16" s="31" t="s">
        <v>151</v>
      </c>
      <c r="AR16" s="31" t="s">
        <v>150</v>
      </c>
      <c r="AS16" s="31" t="s">
        <v>151</v>
      </c>
      <c r="AT16" s="31" t="s">
        <v>151</v>
      </c>
      <c r="AU16" s="31" t="s">
        <v>151</v>
      </c>
      <c r="AV16" s="31" t="s">
        <v>147</v>
      </c>
      <c r="AW16" s="31" t="s">
        <v>151</v>
      </c>
      <c r="AX16" s="31" t="s">
        <v>150</v>
      </c>
      <c r="AY16" s="31" t="s">
        <v>151</v>
      </c>
    </row>
    <row r="17" spans="1:51" ht="15" customHeight="1" x14ac:dyDescent="0.25">
      <c r="A17" s="31" t="s">
        <v>268</v>
      </c>
      <c r="B17" s="31" t="s">
        <v>269</v>
      </c>
      <c r="C17" s="32">
        <v>52</v>
      </c>
      <c r="D17" s="31" t="s">
        <v>251</v>
      </c>
      <c r="E17" s="31" t="s">
        <v>183</v>
      </c>
      <c r="F17" s="33" t="s">
        <v>270</v>
      </c>
      <c r="G17" s="31" t="s">
        <v>194</v>
      </c>
      <c r="H17" s="31" t="s">
        <v>137</v>
      </c>
      <c r="I17" s="31" t="s">
        <v>136</v>
      </c>
      <c r="J17" s="31" t="s">
        <v>156</v>
      </c>
      <c r="K17" s="31" t="s">
        <v>264</v>
      </c>
      <c r="L17" s="31" t="s">
        <v>158</v>
      </c>
      <c r="M17" s="34">
        <v>12.6</v>
      </c>
      <c r="N17" s="34">
        <v>14.6</v>
      </c>
      <c r="O17" s="35">
        <v>-4.3899999999999997</v>
      </c>
      <c r="P17" s="35">
        <v>0</v>
      </c>
      <c r="Q17" s="32">
        <v>170</v>
      </c>
      <c r="R17" s="35">
        <v>-4.18</v>
      </c>
      <c r="S17" s="35">
        <v>-0.25</v>
      </c>
      <c r="T17" s="32">
        <v>166</v>
      </c>
      <c r="U17" s="31" t="s">
        <v>271</v>
      </c>
      <c r="V17" s="31" t="s">
        <v>232</v>
      </c>
      <c r="W17" s="31" t="s">
        <v>187</v>
      </c>
      <c r="X17" s="31" t="s">
        <v>141</v>
      </c>
      <c r="Y17" s="31" t="s">
        <v>162</v>
      </c>
      <c r="Z17" s="31" t="s">
        <v>143</v>
      </c>
      <c r="AA17" s="31"/>
      <c r="AB17" s="31" t="s">
        <v>197</v>
      </c>
      <c r="AC17" s="31" t="s">
        <v>180</v>
      </c>
      <c r="AD17" s="31" t="s">
        <v>221</v>
      </c>
      <c r="AE17" s="31" t="s">
        <v>221</v>
      </c>
      <c r="AF17" s="31" t="s">
        <v>148</v>
      </c>
      <c r="AG17" s="31" t="s">
        <v>168</v>
      </c>
      <c r="AH17" s="31" t="s">
        <v>149</v>
      </c>
      <c r="AI17" s="31" t="s">
        <v>149</v>
      </c>
      <c r="AJ17" s="31" t="s">
        <v>150</v>
      </c>
      <c r="AK17" s="31" t="s">
        <v>151</v>
      </c>
      <c r="AL17" s="31" t="s">
        <v>151</v>
      </c>
      <c r="AM17" s="31" t="s">
        <v>147</v>
      </c>
      <c r="AN17" s="31" t="s">
        <v>151</v>
      </c>
      <c r="AO17" s="31" t="s">
        <v>150</v>
      </c>
      <c r="AP17" s="31" t="s">
        <v>150</v>
      </c>
      <c r="AQ17" s="31" t="s">
        <v>151</v>
      </c>
      <c r="AR17" s="31" t="s">
        <v>150</v>
      </c>
      <c r="AS17" s="31" t="s">
        <v>151</v>
      </c>
      <c r="AT17" s="31" t="s">
        <v>151</v>
      </c>
      <c r="AU17" s="31" t="s">
        <v>151</v>
      </c>
      <c r="AV17" s="31" t="s">
        <v>151</v>
      </c>
      <c r="AW17" s="31" t="s">
        <v>151</v>
      </c>
      <c r="AX17" s="31" t="s">
        <v>151</v>
      </c>
      <c r="AY17" s="31" t="s">
        <v>150</v>
      </c>
    </row>
    <row r="18" spans="1:51" ht="15" customHeight="1" x14ac:dyDescent="0.25">
      <c r="A18" s="31" t="s">
        <v>272</v>
      </c>
      <c r="B18" s="31" t="s">
        <v>273</v>
      </c>
      <c r="C18" s="32">
        <v>39</v>
      </c>
      <c r="D18" s="31" t="s">
        <v>251</v>
      </c>
      <c r="E18" s="31" t="s">
        <v>201</v>
      </c>
      <c r="F18" s="33" t="s">
        <v>274</v>
      </c>
      <c r="G18" s="31" t="s">
        <v>194</v>
      </c>
      <c r="H18" s="31" t="s">
        <v>135</v>
      </c>
      <c r="I18" s="31" t="s">
        <v>137</v>
      </c>
      <c r="J18" s="31" t="s">
        <v>156</v>
      </c>
      <c r="K18" s="31" t="s">
        <v>174</v>
      </c>
      <c r="L18" s="31" t="s">
        <v>135</v>
      </c>
      <c r="M18" s="34">
        <v>13.9</v>
      </c>
      <c r="N18" s="34">
        <v>11.7</v>
      </c>
      <c r="O18" s="35">
        <v>-0.56999999999999995</v>
      </c>
      <c r="P18" s="35">
        <v>-0.47</v>
      </c>
      <c r="Q18" s="32">
        <v>120</v>
      </c>
      <c r="R18" s="35">
        <v>-0.94</v>
      </c>
      <c r="S18" s="35">
        <v>-0.7</v>
      </c>
      <c r="T18" s="32">
        <v>129</v>
      </c>
      <c r="U18" s="31" t="s">
        <v>275</v>
      </c>
      <c r="V18" s="31" t="s">
        <v>177</v>
      </c>
      <c r="W18" s="31" t="s">
        <v>161</v>
      </c>
      <c r="X18" s="31" t="s">
        <v>141</v>
      </c>
      <c r="Y18" s="31" t="s">
        <v>162</v>
      </c>
      <c r="Z18" s="31" t="s">
        <v>241</v>
      </c>
      <c r="AA18" s="31" t="s">
        <v>276</v>
      </c>
      <c r="AB18" s="31" t="s">
        <v>277</v>
      </c>
      <c r="AC18" s="31" t="s">
        <v>188</v>
      </c>
      <c r="AD18" s="31" t="s">
        <v>146</v>
      </c>
      <c r="AE18" s="31" t="s">
        <v>221</v>
      </c>
      <c r="AF18" s="31" t="s">
        <v>167</v>
      </c>
      <c r="AG18" s="31" t="s">
        <v>167</v>
      </c>
      <c r="AH18" s="31" t="s">
        <v>149</v>
      </c>
      <c r="AI18" s="31" t="s">
        <v>149</v>
      </c>
      <c r="AJ18" s="31" t="s">
        <v>151</v>
      </c>
      <c r="AK18" s="31" t="s">
        <v>151</v>
      </c>
      <c r="AL18" s="31" t="s">
        <v>151</v>
      </c>
      <c r="AM18" s="31" t="s">
        <v>151</v>
      </c>
      <c r="AN18" s="31" t="s">
        <v>147</v>
      </c>
      <c r="AO18" s="31" t="s">
        <v>151</v>
      </c>
      <c r="AP18" s="31" t="s">
        <v>150</v>
      </c>
      <c r="AQ18" s="31" t="s">
        <v>151</v>
      </c>
      <c r="AR18" s="31" t="s">
        <v>150</v>
      </c>
      <c r="AS18" s="31" t="s">
        <v>151</v>
      </c>
      <c r="AT18" s="31" t="s">
        <v>151</v>
      </c>
      <c r="AU18" s="31" t="s">
        <v>151</v>
      </c>
      <c r="AV18" s="31" t="s">
        <v>150</v>
      </c>
      <c r="AW18" s="31" t="s">
        <v>151</v>
      </c>
      <c r="AX18" s="31" t="s">
        <v>150</v>
      </c>
      <c r="AY18" s="31" t="s">
        <v>151</v>
      </c>
    </row>
    <row r="19" spans="1:51" ht="15" customHeight="1" x14ac:dyDescent="0.25">
      <c r="A19" s="31" t="s">
        <v>278</v>
      </c>
      <c r="B19" s="31" t="s">
        <v>279</v>
      </c>
      <c r="C19" s="32">
        <v>23</v>
      </c>
      <c r="D19" s="31" t="s">
        <v>251</v>
      </c>
      <c r="E19" s="31" t="s">
        <v>280</v>
      </c>
      <c r="F19" s="33" t="s">
        <v>281</v>
      </c>
      <c r="G19" s="31" t="s">
        <v>156</v>
      </c>
      <c r="H19" s="31" t="s">
        <v>137</v>
      </c>
      <c r="I19" s="31" t="s">
        <v>193</v>
      </c>
      <c r="J19" s="31" t="s">
        <v>156</v>
      </c>
      <c r="K19" s="31" t="s">
        <v>174</v>
      </c>
      <c r="L19" s="31" t="s">
        <v>135</v>
      </c>
      <c r="M19" s="34">
        <v>14.5</v>
      </c>
      <c r="N19" s="34">
        <v>15.6</v>
      </c>
      <c r="O19" s="35">
        <v>-3.95</v>
      </c>
      <c r="P19" s="35">
        <v>0</v>
      </c>
      <c r="Q19" s="32">
        <v>60</v>
      </c>
      <c r="R19" s="35">
        <v>-3.87</v>
      </c>
      <c r="S19" s="35">
        <v>-0.4</v>
      </c>
      <c r="T19" s="32">
        <v>61</v>
      </c>
      <c r="U19" s="31" t="s">
        <v>282</v>
      </c>
      <c r="V19" s="31" t="s">
        <v>160</v>
      </c>
      <c r="W19" s="31" t="s">
        <v>140</v>
      </c>
      <c r="X19" s="31" t="s">
        <v>161</v>
      </c>
      <c r="Y19" s="31" t="s">
        <v>162</v>
      </c>
      <c r="Z19" s="31" t="s">
        <v>143</v>
      </c>
      <c r="AA19" s="31"/>
      <c r="AB19" s="31" t="s">
        <v>179</v>
      </c>
      <c r="AC19" s="31" t="s">
        <v>267</v>
      </c>
      <c r="AD19" s="31" t="s">
        <v>146</v>
      </c>
      <c r="AE19" s="31" t="s">
        <v>147</v>
      </c>
      <c r="AF19" s="31" t="s">
        <v>167</v>
      </c>
      <c r="AG19" s="31" t="s">
        <v>148</v>
      </c>
      <c r="AH19" s="31" t="s">
        <v>149</v>
      </c>
      <c r="AI19" s="31" t="s">
        <v>169</v>
      </c>
      <c r="AJ19" s="31" t="s">
        <v>151</v>
      </c>
      <c r="AK19" s="31" t="s">
        <v>151</v>
      </c>
      <c r="AL19" s="31" t="s">
        <v>151</v>
      </c>
      <c r="AM19" s="31" t="s">
        <v>151</v>
      </c>
      <c r="AN19" s="31" t="s">
        <v>151</v>
      </c>
      <c r="AO19" s="31" t="s">
        <v>150</v>
      </c>
      <c r="AP19" s="31" t="s">
        <v>150</v>
      </c>
      <c r="AQ19" s="31" t="s">
        <v>151</v>
      </c>
      <c r="AR19" s="31" t="s">
        <v>150</v>
      </c>
      <c r="AS19" s="31" t="s">
        <v>151</v>
      </c>
      <c r="AT19" s="31" t="s">
        <v>150</v>
      </c>
      <c r="AU19" s="31" t="s">
        <v>147</v>
      </c>
      <c r="AV19" s="31" t="s">
        <v>151</v>
      </c>
      <c r="AW19" s="31" t="s">
        <v>150</v>
      </c>
      <c r="AX19" s="31" t="s">
        <v>151</v>
      </c>
      <c r="AY19" s="31" t="s">
        <v>150</v>
      </c>
    </row>
    <row r="20" spans="1:51" ht="15" customHeight="1" x14ac:dyDescent="0.25">
      <c r="A20" s="31" t="s">
        <v>283</v>
      </c>
      <c r="B20" s="31" t="s">
        <v>284</v>
      </c>
      <c r="C20" s="32">
        <v>42</v>
      </c>
      <c r="D20" s="31" t="s">
        <v>147</v>
      </c>
      <c r="E20" s="31" t="s">
        <v>245</v>
      </c>
      <c r="F20" s="33" t="s">
        <v>263</v>
      </c>
      <c r="G20" s="31" t="s">
        <v>175</v>
      </c>
      <c r="H20" s="31" t="s">
        <v>174</v>
      </c>
      <c r="I20" s="31" t="s">
        <v>136</v>
      </c>
      <c r="J20" s="31" t="s">
        <v>194</v>
      </c>
      <c r="K20" s="31" t="s">
        <v>137</v>
      </c>
      <c r="L20" s="31" t="s">
        <v>175</v>
      </c>
      <c r="M20" s="34">
        <v>18</v>
      </c>
      <c r="N20" s="34">
        <v>16.3</v>
      </c>
      <c r="O20" s="35">
        <v>-4.18</v>
      </c>
      <c r="P20" s="35">
        <v>-0.63</v>
      </c>
      <c r="Q20" s="32">
        <v>20</v>
      </c>
      <c r="R20" s="35">
        <v>-4</v>
      </c>
      <c r="S20" s="35">
        <v>-0.56999999999999995</v>
      </c>
      <c r="T20" s="32">
        <v>22</v>
      </c>
      <c r="U20" s="31" t="s">
        <v>285</v>
      </c>
      <c r="V20" s="31" t="s">
        <v>139</v>
      </c>
      <c r="W20" s="31" t="s">
        <v>161</v>
      </c>
      <c r="X20" s="31" t="s">
        <v>161</v>
      </c>
      <c r="Y20" s="31" t="s">
        <v>162</v>
      </c>
      <c r="Z20" s="31" t="s">
        <v>143</v>
      </c>
      <c r="AA20" s="31"/>
      <c r="AB20" s="31" t="s">
        <v>144</v>
      </c>
      <c r="AC20" s="31" t="s">
        <v>235</v>
      </c>
      <c r="AD20" s="31" t="s">
        <v>147</v>
      </c>
      <c r="AE20" s="31" t="s">
        <v>221</v>
      </c>
      <c r="AF20" s="31" t="s">
        <v>148</v>
      </c>
      <c r="AG20" s="31" t="s">
        <v>148</v>
      </c>
      <c r="AH20" s="31" t="s">
        <v>169</v>
      </c>
      <c r="AI20" s="31" t="s">
        <v>149</v>
      </c>
      <c r="AJ20" s="31" t="s">
        <v>151</v>
      </c>
      <c r="AK20" s="31" t="s">
        <v>151</v>
      </c>
      <c r="AL20" s="31" t="s">
        <v>150</v>
      </c>
      <c r="AM20" s="31" t="s">
        <v>151</v>
      </c>
      <c r="AN20" s="31" t="s">
        <v>151</v>
      </c>
      <c r="AO20" s="31" t="s">
        <v>151</v>
      </c>
      <c r="AP20" s="31" t="s">
        <v>150</v>
      </c>
      <c r="AQ20" s="31" t="s">
        <v>151</v>
      </c>
      <c r="AR20" s="31" t="s">
        <v>150</v>
      </c>
      <c r="AS20" s="31" t="s">
        <v>151</v>
      </c>
      <c r="AT20" s="31" t="s">
        <v>151</v>
      </c>
      <c r="AU20" s="31" t="s">
        <v>151</v>
      </c>
      <c r="AV20" s="31" t="s">
        <v>147</v>
      </c>
      <c r="AW20" s="31" t="s">
        <v>150</v>
      </c>
      <c r="AX20" s="31" t="s">
        <v>151</v>
      </c>
      <c r="AY20" s="31" t="s">
        <v>151</v>
      </c>
    </row>
    <row r="21" spans="1:51" ht="15" customHeight="1" x14ac:dyDescent="0.25">
      <c r="A21" s="31" t="s">
        <v>286</v>
      </c>
      <c r="B21" s="31" t="s">
        <v>287</v>
      </c>
      <c r="C21" s="32">
        <v>25</v>
      </c>
      <c r="D21" s="31" t="s">
        <v>251</v>
      </c>
      <c r="E21" s="31" t="s">
        <v>252</v>
      </c>
      <c r="F21" s="33" t="s">
        <v>288</v>
      </c>
      <c r="G21" s="31" t="s">
        <v>137</v>
      </c>
      <c r="H21" s="31" t="s">
        <v>174</v>
      </c>
      <c r="I21" s="31" t="s">
        <v>156</v>
      </c>
      <c r="J21" s="31" t="s">
        <v>137</v>
      </c>
      <c r="K21" s="31" t="s">
        <v>135</v>
      </c>
      <c r="L21" s="31" t="s">
        <v>158</v>
      </c>
      <c r="M21" s="34">
        <v>16.2</v>
      </c>
      <c r="N21" s="34">
        <v>16.600000000000001</v>
      </c>
      <c r="O21" s="35">
        <v>-2.61</v>
      </c>
      <c r="P21" s="35">
        <v>-0.47</v>
      </c>
      <c r="Q21" s="32">
        <v>90</v>
      </c>
      <c r="R21" s="35">
        <v>-1.96</v>
      </c>
      <c r="S21" s="35">
        <v>-0.77</v>
      </c>
      <c r="T21" s="32">
        <v>93</v>
      </c>
      <c r="U21" s="31" t="s">
        <v>289</v>
      </c>
      <c r="V21" s="31" t="s">
        <v>211</v>
      </c>
      <c r="W21" s="31" t="s">
        <v>140</v>
      </c>
      <c r="X21" s="31" t="s">
        <v>161</v>
      </c>
      <c r="Y21" s="31" t="s">
        <v>196</v>
      </c>
      <c r="Z21" s="31" t="s">
        <v>178</v>
      </c>
      <c r="AA21" s="31"/>
      <c r="AB21" s="31" t="s">
        <v>220</v>
      </c>
      <c r="AC21" s="31" t="s">
        <v>235</v>
      </c>
      <c r="AD21" s="31" t="s">
        <v>147</v>
      </c>
      <c r="AE21" s="31" t="s">
        <v>146</v>
      </c>
      <c r="AF21" s="31" t="s">
        <v>148</v>
      </c>
      <c r="AG21" s="31" t="s">
        <v>167</v>
      </c>
      <c r="AH21" s="31" t="s">
        <v>169</v>
      </c>
      <c r="AI21" s="31" t="s">
        <v>149</v>
      </c>
      <c r="AJ21" s="31" t="s">
        <v>151</v>
      </c>
      <c r="AK21" s="31" t="s">
        <v>150</v>
      </c>
      <c r="AL21" s="31" t="s">
        <v>150</v>
      </c>
      <c r="AM21" s="31" t="s">
        <v>151</v>
      </c>
      <c r="AN21" s="31" t="s">
        <v>151</v>
      </c>
      <c r="AO21" s="31" t="s">
        <v>151</v>
      </c>
      <c r="AP21" s="31" t="s">
        <v>150</v>
      </c>
      <c r="AQ21" s="31" t="s">
        <v>151</v>
      </c>
      <c r="AR21" s="31" t="s">
        <v>150</v>
      </c>
      <c r="AS21" s="31" t="s">
        <v>151</v>
      </c>
      <c r="AT21" s="31" t="s">
        <v>151</v>
      </c>
      <c r="AU21" s="31" t="s">
        <v>151</v>
      </c>
      <c r="AV21" s="31" t="s">
        <v>151</v>
      </c>
      <c r="AW21" s="31" t="s">
        <v>151</v>
      </c>
      <c r="AX21" s="31" t="s">
        <v>151</v>
      </c>
      <c r="AY21" s="31" t="s">
        <v>151</v>
      </c>
    </row>
    <row r="22" spans="1:51" ht="15" customHeight="1" x14ac:dyDescent="0.25">
      <c r="A22" s="31" t="s">
        <v>290</v>
      </c>
      <c r="B22" s="31" t="s">
        <v>291</v>
      </c>
      <c r="C22" s="32">
        <v>20</v>
      </c>
      <c r="D22" s="31" t="s">
        <v>132</v>
      </c>
      <c r="E22" s="31" t="s">
        <v>292</v>
      </c>
      <c r="F22" s="33" t="s">
        <v>293</v>
      </c>
      <c r="G22" s="31" t="s">
        <v>194</v>
      </c>
      <c r="H22" s="31" t="s">
        <v>264</v>
      </c>
      <c r="I22" s="31" t="s">
        <v>194</v>
      </c>
      <c r="J22" s="31" t="s">
        <v>175</v>
      </c>
      <c r="K22" s="31" t="s">
        <v>194</v>
      </c>
      <c r="L22" s="31" t="s">
        <v>135</v>
      </c>
      <c r="M22" s="34">
        <v>18</v>
      </c>
      <c r="N22" s="34">
        <v>19.600000000000001</v>
      </c>
      <c r="O22" s="35">
        <v>-2.88</v>
      </c>
      <c r="P22" s="35">
        <v>-0.53</v>
      </c>
      <c r="Q22" s="32">
        <v>20</v>
      </c>
      <c r="R22" s="35">
        <v>-2.54</v>
      </c>
      <c r="S22" s="35">
        <v>-0.32</v>
      </c>
      <c r="T22" s="32">
        <v>31</v>
      </c>
      <c r="U22" s="31" t="s">
        <v>294</v>
      </c>
      <c r="V22" s="31" t="s">
        <v>232</v>
      </c>
      <c r="W22" s="31" t="s">
        <v>140</v>
      </c>
      <c r="X22" s="31" t="s">
        <v>161</v>
      </c>
      <c r="Y22" s="31" t="s">
        <v>162</v>
      </c>
      <c r="Z22" s="31" t="s">
        <v>178</v>
      </c>
      <c r="AA22" s="31"/>
      <c r="AB22" s="31" t="s">
        <v>295</v>
      </c>
      <c r="AC22" s="31" t="s">
        <v>296</v>
      </c>
      <c r="AD22" s="31" t="s">
        <v>147</v>
      </c>
      <c r="AE22" s="31" t="s">
        <v>221</v>
      </c>
      <c r="AF22" s="31" t="s">
        <v>148</v>
      </c>
      <c r="AG22" s="31" t="s">
        <v>167</v>
      </c>
      <c r="AH22" s="31" t="s">
        <v>149</v>
      </c>
      <c r="AI22" s="31" t="s">
        <v>149</v>
      </c>
      <c r="AJ22" s="31" t="s">
        <v>151</v>
      </c>
      <c r="AK22" s="31" t="s">
        <v>150</v>
      </c>
      <c r="AL22" s="31" t="s">
        <v>150</v>
      </c>
      <c r="AM22" s="31" t="s">
        <v>150</v>
      </c>
      <c r="AN22" s="31" t="s">
        <v>147</v>
      </c>
      <c r="AO22" s="31" t="s">
        <v>150</v>
      </c>
      <c r="AP22" s="31" t="s">
        <v>150</v>
      </c>
      <c r="AQ22" s="31" t="s">
        <v>151</v>
      </c>
      <c r="AR22" s="31" t="s">
        <v>150</v>
      </c>
      <c r="AS22" s="31" t="s">
        <v>151</v>
      </c>
      <c r="AT22" s="31" t="s">
        <v>151</v>
      </c>
      <c r="AU22" s="31" t="s">
        <v>151</v>
      </c>
      <c r="AV22" s="31" t="s">
        <v>151</v>
      </c>
      <c r="AW22" s="31" t="s">
        <v>150</v>
      </c>
      <c r="AX22" s="31" t="s">
        <v>151</v>
      </c>
      <c r="AY22" s="31" t="s">
        <v>151</v>
      </c>
    </row>
    <row r="23" spans="1:51" ht="15" customHeight="1" x14ac:dyDescent="0.25">
      <c r="A23" s="31" t="s">
        <v>297</v>
      </c>
      <c r="B23" s="31" t="s">
        <v>298</v>
      </c>
      <c r="C23" s="32">
        <v>33</v>
      </c>
      <c r="D23" s="31" t="s">
        <v>251</v>
      </c>
      <c r="E23" s="31" t="s">
        <v>154</v>
      </c>
      <c r="F23" s="33" t="s">
        <v>299</v>
      </c>
      <c r="G23" s="31" t="s">
        <v>137</v>
      </c>
      <c r="H23" s="31" t="s">
        <v>194</v>
      </c>
      <c r="I23" s="31" t="s">
        <v>137</v>
      </c>
      <c r="J23" s="31" t="s">
        <v>135</v>
      </c>
      <c r="K23" s="31" t="s">
        <v>194</v>
      </c>
      <c r="L23" s="31" t="s">
        <v>156</v>
      </c>
      <c r="M23" s="34">
        <v>13.1</v>
      </c>
      <c r="N23" s="34">
        <v>11.9</v>
      </c>
      <c r="O23" s="35">
        <v>-2.87</v>
      </c>
      <c r="P23" s="35">
        <v>-0.59</v>
      </c>
      <c r="Q23" s="32">
        <v>0</v>
      </c>
      <c r="R23" s="35">
        <v>-2.9</v>
      </c>
      <c r="S23" s="35">
        <v>-0.52</v>
      </c>
      <c r="T23" s="32">
        <v>4</v>
      </c>
      <c r="U23" s="31" t="s">
        <v>300</v>
      </c>
      <c r="V23" s="31" t="s">
        <v>177</v>
      </c>
      <c r="W23" s="31" t="s">
        <v>187</v>
      </c>
      <c r="X23" s="31" t="s">
        <v>161</v>
      </c>
      <c r="Y23" s="31" t="s">
        <v>162</v>
      </c>
      <c r="Z23" s="31" t="s">
        <v>143</v>
      </c>
      <c r="AA23" s="31"/>
      <c r="AB23" s="31" t="s">
        <v>179</v>
      </c>
      <c r="AC23" s="31" t="s">
        <v>206</v>
      </c>
      <c r="AD23" s="31" t="s">
        <v>146</v>
      </c>
      <c r="AE23" s="31" t="s">
        <v>221</v>
      </c>
      <c r="AF23" s="31" t="s">
        <v>167</v>
      </c>
      <c r="AG23" s="31" t="s">
        <v>168</v>
      </c>
      <c r="AH23" s="31" t="s">
        <v>149</v>
      </c>
      <c r="AI23" s="31" t="s">
        <v>149</v>
      </c>
      <c r="AJ23" s="31" t="s">
        <v>151</v>
      </c>
      <c r="AK23" s="31" t="s">
        <v>151</v>
      </c>
      <c r="AL23" s="31" t="s">
        <v>150</v>
      </c>
      <c r="AM23" s="31" t="s">
        <v>151</v>
      </c>
      <c r="AN23" s="31" t="s">
        <v>151</v>
      </c>
      <c r="AO23" s="31" t="s">
        <v>150</v>
      </c>
      <c r="AP23" s="31" t="s">
        <v>150</v>
      </c>
      <c r="AQ23" s="31" t="s">
        <v>150</v>
      </c>
      <c r="AR23" s="31" t="s">
        <v>151</v>
      </c>
      <c r="AS23" s="31" t="s">
        <v>151</v>
      </c>
      <c r="AT23" s="31" t="s">
        <v>151</v>
      </c>
      <c r="AU23" s="31" t="s">
        <v>151</v>
      </c>
      <c r="AV23" s="31" t="s">
        <v>151</v>
      </c>
      <c r="AW23" s="31" t="s">
        <v>151</v>
      </c>
      <c r="AX23" s="31" t="s">
        <v>151</v>
      </c>
      <c r="AY23" s="31" t="s">
        <v>151</v>
      </c>
    </row>
    <row r="24" spans="1:51" ht="15" customHeight="1" x14ac:dyDescent="0.25">
      <c r="A24" s="31" t="s">
        <v>301</v>
      </c>
      <c r="B24" s="31" t="s">
        <v>302</v>
      </c>
      <c r="C24" s="32">
        <v>38</v>
      </c>
      <c r="D24" s="31" t="s">
        <v>132</v>
      </c>
      <c r="E24" s="31" t="s">
        <v>191</v>
      </c>
      <c r="F24" s="33" t="s">
        <v>303</v>
      </c>
      <c r="G24" s="31" t="s">
        <v>137</v>
      </c>
      <c r="H24" s="31" t="s">
        <v>194</v>
      </c>
      <c r="I24" s="31" t="s">
        <v>156</v>
      </c>
      <c r="J24" s="31" t="s">
        <v>135</v>
      </c>
      <c r="K24" s="31" t="s">
        <v>135</v>
      </c>
      <c r="L24" s="31" t="s">
        <v>157</v>
      </c>
      <c r="M24" s="34">
        <v>20.2</v>
      </c>
      <c r="N24" s="34">
        <v>19.8</v>
      </c>
      <c r="O24" s="35">
        <v>6</v>
      </c>
      <c r="P24" s="35">
        <v>-1.67</v>
      </c>
      <c r="Q24" s="32">
        <v>45</v>
      </c>
      <c r="R24" s="35">
        <v>6</v>
      </c>
      <c r="S24" s="35">
        <v>-1.94</v>
      </c>
      <c r="T24" s="32">
        <v>47</v>
      </c>
      <c r="U24" s="31" t="s">
        <v>304</v>
      </c>
      <c r="V24" s="31" t="s">
        <v>139</v>
      </c>
      <c r="W24" s="31" t="s">
        <v>140</v>
      </c>
      <c r="X24" s="31" t="s">
        <v>141</v>
      </c>
      <c r="Y24" s="31" t="s">
        <v>305</v>
      </c>
      <c r="Z24" s="31" t="s">
        <v>143</v>
      </c>
      <c r="AA24" s="31"/>
      <c r="AB24" s="31" t="s">
        <v>197</v>
      </c>
      <c r="AC24" s="31" t="s">
        <v>145</v>
      </c>
      <c r="AD24" s="31" t="s">
        <v>221</v>
      </c>
      <c r="AE24" s="31" t="s">
        <v>146</v>
      </c>
      <c r="AF24" s="31" t="s">
        <v>148</v>
      </c>
      <c r="AG24" s="31" t="s">
        <v>148</v>
      </c>
      <c r="AH24" s="31" t="s">
        <v>149</v>
      </c>
      <c r="AI24" s="31" t="s">
        <v>147</v>
      </c>
      <c r="AJ24" s="31" t="s">
        <v>150</v>
      </c>
      <c r="AK24" s="31" t="s">
        <v>151</v>
      </c>
      <c r="AL24" s="31" t="s">
        <v>150</v>
      </c>
      <c r="AM24" s="31" t="s">
        <v>150</v>
      </c>
      <c r="AN24" s="31" t="s">
        <v>150</v>
      </c>
      <c r="AO24" s="31" t="s">
        <v>150</v>
      </c>
      <c r="AP24" s="31" t="s">
        <v>147</v>
      </c>
      <c r="AQ24" s="31" t="s">
        <v>150</v>
      </c>
      <c r="AR24" s="31" t="s">
        <v>150</v>
      </c>
      <c r="AS24" s="31" t="s">
        <v>150</v>
      </c>
      <c r="AT24" s="31" t="s">
        <v>151</v>
      </c>
      <c r="AU24" s="31" t="s">
        <v>151</v>
      </c>
      <c r="AV24" s="31" t="s">
        <v>151</v>
      </c>
      <c r="AW24" s="31" t="s">
        <v>151</v>
      </c>
      <c r="AX24" s="31" t="s">
        <v>151</v>
      </c>
      <c r="AY24" s="31" t="s">
        <v>150</v>
      </c>
    </row>
    <row r="25" spans="1:51" ht="15" customHeight="1" x14ac:dyDescent="0.25">
      <c r="A25" s="31" t="s">
        <v>306</v>
      </c>
      <c r="B25" s="31" t="s">
        <v>307</v>
      </c>
      <c r="C25" s="32">
        <v>33</v>
      </c>
      <c r="D25" s="31" t="s">
        <v>132</v>
      </c>
      <c r="E25" s="31" t="s">
        <v>262</v>
      </c>
      <c r="F25" s="33" t="s">
        <v>308</v>
      </c>
      <c r="G25" s="31" t="s">
        <v>156</v>
      </c>
      <c r="H25" s="31" t="s">
        <v>135</v>
      </c>
      <c r="I25" s="31" t="s">
        <v>193</v>
      </c>
      <c r="J25" s="31" t="s">
        <v>194</v>
      </c>
      <c r="K25" s="31" t="s">
        <v>136</v>
      </c>
      <c r="L25" s="31" t="s">
        <v>309</v>
      </c>
      <c r="M25" s="34">
        <v>17.8</v>
      </c>
      <c r="N25" s="34">
        <v>18.5</v>
      </c>
      <c r="O25" s="35">
        <v>-0.94</v>
      </c>
      <c r="P25" s="35">
        <v>-2.2599999999999998</v>
      </c>
      <c r="Q25" s="32">
        <v>75</v>
      </c>
      <c r="R25" s="35">
        <v>-1.24</v>
      </c>
      <c r="S25" s="35">
        <v>-2.37</v>
      </c>
      <c r="T25" s="32">
        <v>80</v>
      </c>
      <c r="U25" s="31" t="s">
        <v>310</v>
      </c>
      <c r="V25" s="31" t="s">
        <v>259</v>
      </c>
      <c r="W25" s="31" t="s">
        <v>161</v>
      </c>
      <c r="X25" s="31" t="s">
        <v>141</v>
      </c>
      <c r="Y25" s="31" t="s">
        <v>162</v>
      </c>
      <c r="Z25" s="31" t="s">
        <v>241</v>
      </c>
      <c r="AA25" s="31" t="s">
        <v>276</v>
      </c>
      <c r="AB25" s="31" t="s">
        <v>311</v>
      </c>
      <c r="AC25" s="31" t="s">
        <v>312</v>
      </c>
      <c r="AD25" s="31" t="s">
        <v>146</v>
      </c>
      <c r="AE25" s="31" t="s">
        <v>147</v>
      </c>
      <c r="AF25" s="31" t="s">
        <v>148</v>
      </c>
      <c r="AG25" s="31" t="s">
        <v>168</v>
      </c>
      <c r="AH25" s="31" t="s">
        <v>169</v>
      </c>
      <c r="AI25" s="31" t="s">
        <v>169</v>
      </c>
      <c r="AJ25" s="31" t="s">
        <v>150</v>
      </c>
      <c r="AK25" s="31" t="s">
        <v>151</v>
      </c>
      <c r="AL25" s="31" t="s">
        <v>150</v>
      </c>
      <c r="AM25" s="31" t="s">
        <v>150</v>
      </c>
      <c r="AN25" s="31" t="s">
        <v>151</v>
      </c>
      <c r="AO25" s="31" t="s">
        <v>150</v>
      </c>
      <c r="AP25" s="31" t="s">
        <v>150</v>
      </c>
      <c r="AQ25" s="31" t="s">
        <v>151</v>
      </c>
      <c r="AR25" s="31" t="s">
        <v>150</v>
      </c>
      <c r="AS25" s="31" t="s">
        <v>151</v>
      </c>
      <c r="AT25" s="31" t="s">
        <v>151</v>
      </c>
      <c r="AU25" s="31" t="s">
        <v>151</v>
      </c>
      <c r="AV25" s="31" t="s">
        <v>151</v>
      </c>
      <c r="AW25" s="31" t="s">
        <v>151</v>
      </c>
      <c r="AX25" s="31" t="s">
        <v>151</v>
      </c>
      <c r="AY25" s="31" t="s">
        <v>151</v>
      </c>
    </row>
    <row r="26" spans="1:51" ht="15" customHeight="1" x14ac:dyDescent="0.25">
      <c r="A26" s="31" t="s">
        <v>313</v>
      </c>
      <c r="B26" s="31" t="s">
        <v>314</v>
      </c>
      <c r="C26" s="32">
        <v>41</v>
      </c>
      <c r="D26" s="31" t="s">
        <v>251</v>
      </c>
      <c r="E26" s="31" t="s">
        <v>262</v>
      </c>
      <c r="F26" s="33" t="s">
        <v>315</v>
      </c>
      <c r="G26" s="31" t="s">
        <v>137</v>
      </c>
      <c r="H26" s="31" t="s">
        <v>136</v>
      </c>
      <c r="I26" s="31" t="s">
        <v>135</v>
      </c>
      <c r="J26" s="31" t="s">
        <v>203</v>
      </c>
      <c r="K26" s="31" t="s">
        <v>194</v>
      </c>
      <c r="L26" s="31" t="s">
        <v>135</v>
      </c>
      <c r="M26" s="34">
        <v>11.5</v>
      </c>
      <c r="N26" s="34">
        <v>11.7</v>
      </c>
      <c r="O26" s="35">
        <v>0.25</v>
      </c>
      <c r="P26" s="35">
        <v>-0.76</v>
      </c>
      <c r="Q26" s="32">
        <v>170</v>
      </c>
      <c r="R26" s="35">
        <v>-0.06</v>
      </c>
      <c r="S26" s="35">
        <v>-0.75</v>
      </c>
      <c r="T26" s="32">
        <v>163</v>
      </c>
      <c r="U26" s="31" t="s">
        <v>316</v>
      </c>
      <c r="V26" s="31" t="s">
        <v>160</v>
      </c>
      <c r="W26" s="31" t="s">
        <v>140</v>
      </c>
      <c r="X26" s="31" t="s">
        <v>147</v>
      </c>
      <c r="Y26" s="31" t="s">
        <v>196</v>
      </c>
      <c r="Z26" s="31" t="s">
        <v>143</v>
      </c>
      <c r="AA26" s="31"/>
      <c r="AB26" s="31" t="s">
        <v>205</v>
      </c>
      <c r="AC26" s="31" t="s">
        <v>145</v>
      </c>
      <c r="AD26" s="31" t="s">
        <v>147</v>
      </c>
      <c r="AE26" s="31" t="s">
        <v>147</v>
      </c>
      <c r="AF26" s="31" t="s">
        <v>148</v>
      </c>
      <c r="AG26" s="31" t="s">
        <v>148</v>
      </c>
      <c r="AH26" s="31" t="s">
        <v>169</v>
      </c>
      <c r="AI26" s="31" t="s">
        <v>169</v>
      </c>
      <c r="AJ26" s="31" t="s">
        <v>151</v>
      </c>
      <c r="AK26" s="31" t="s">
        <v>151</v>
      </c>
      <c r="AL26" s="31" t="s">
        <v>151</v>
      </c>
      <c r="AM26" s="31" t="s">
        <v>151</v>
      </c>
      <c r="AN26" s="31" t="s">
        <v>151</v>
      </c>
      <c r="AO26" s="31" t="s">
        <v>151</v>
      </c>
      <c r="AP26" s="31" t="s">
        <v>147</v>
      </c>
      <c r="AQ26" s="31" t="s">
        <v>151</v>
      </c>
      <c r="AR26" s="31" t="s">
        <v>150</v>
      </c>
      <c r="AS26" s="31" t="s">
        <v>151</v>
      </c>
      <c r="AT26" s="31" t="s">
        <v>151</v>
      </c>
      <c r="AU26" s="31" t="s">
        <v>151</v>
      </c>
      <c r="AV26" s="31" t="s">
        <v>151</v>
      </c>
      <c r="AW26" s="31" t="s">
        <v>150</v>
      </c>
      <c r="AX26" s="31" t="s">
        <v>151</v>
      </c>
      <c r="AY26" s="31" t="s">
        <v>151</v>
      </c>
    </row>
    <row r="27" spans="1:51" ht="15" customHeight="1" x14ac:dyDescent="0.25">
      <c r="A27" s="31" t="s">
        <v>317</v>
      </c>
      <c r="B27" s="31" t="s">
        <v>318</v>
      </c>
      <c r="C27" s="32">
        <v>44</v>
      </c>
      <c r="D27" s="31" t="s">
        <v>251</v>
      </c>
      <c r="E27" s="31" t="s">
        <v>252</v>
      </c>
      <c r="F27" s="33" t="s">
        <v>319</v>
      </c>
      <c r="G27" s="31" t="s">
        <v>136</v>
      </c>
      <c r="H27" s="31" t="s">
        <v>194</v>
      </c>
      <c r="I27" s="31" t="s">
        <v>135</v>
      </c>
      <c r="J27" s="31" t="s">
        <v>194</v>
      </c>
      <c r="K27" s="31" t="s">
        <v>137</v>
      </c>
      <c r="L27" s="31" t="s">
        <v>157</v>
      </c>
      <c r="M27" s="34">
        <v>17.3</v>
      </c>
      <c r="N27" s="34">
        <v>18.8</v>
      </c>
      <c r="O27" s="35">
        <v>1.99</v>
      </c>
      <c r="P27" s="35">
        <v>-1.74</v>
      </c>
      <c r="Q27" s="32">
        <v>0</v>
      </c>
      <c r="R27" s="35">
        <v>1.51</v>
      </c>
      <c r="S27" s="35">
        <v>-1.61</v>
      </c>
      <c r="T27" s="32">
        <v>3</v>
      </c>
      <c r="U27" s="31" t="s">
        <v>320</v>
      </c>
      <c r="V27" s="31" t="s">
        <v>160</v>
      </c>
      <c r="W27" s="31" t="s">
        <v>161</v>
      </c>
      <c r="X27" s="31" t="s">
        <v>161</v>
      </c>
      <c r="Y27" s="31" t="s">
        <v>162</v>
      </c>
      <c r="Z27" s="31" t="s">
        <v>143</v>
      </c>
      <c r="AA27" s="31"/>
      <c r="AB27" s="31" t="s">
        <v>205</v>
      </c>
      <c r="AC27" s="31" t="s">
        <v>145</v>
      </c>
      <c r="AD27" s="31" t="s">
        <v>146</v>
      </c>
      <c r="AE27" s="31" t="s">
        <v>221</v>
      </c>
      <c r="AF27" s="31" t="s">
        <v>148</v>
      </c>
      <c r="AG27" s="31" t="s">
        <v>167</v>
      </c>
      <c r="AH27" s="31" t="s">
        <v>149</v>
      </c>
      <c r="AI27" s="31" t="s">
        <v>149</v>
      </c>
      <c r="AJ27" s="31" t="s">
        <v>151</v>
      </c>
      <c r="AK27" s="31" t="s">
        <v>147</v>
      </c>
      <c r="AL27" s="31" t="s">
        <v>151</v>
      </c>
      <c r="AM27" s="31" t="s">
        <v>151</v>
      </c>
      <c r="AN27" s="31" t="s">
        <v>151</v>
      </c>
      <c r="AO27" s="31" t="s">
        <v>151</v>
      </c>
      <c r="AP27" s="31" t="s">
        <v>150</v>
      </c>
      <c r="AQ27" s="31" t="s">
        <v>151</v>
      </c>
      <c r="AR27" s="31" t="s">
        <v>150</v>
      </c>
      <c r="AS27" s="31" t="s">
        <v>151</v>
      </c>
      <c r="AT27" s="31" t="s">
        <v>151</v>
      </c>
      <c r="AU27" s="31" t="s">
        <v>151</v>
      </c>
      <c r="AV27" s="31" t="s">
        <v>147</v>
      </c>
      <c r="AW27" s="31" t="s">
        <v>151</v>
      </c>
      <c r="AX27" s="31" t="s">
        <v>151</v>
      </c>
      <c r="AY27" s="31" t="s">
        <v>151</v>
      </c>
    </row>
    <row r="28" spans="1:51" ht="15" customHeight="1" x14ac:dyDescent="0.25">
      <c r="A28" s="31" t="s">
        <v>321</v>
      </c>
      <c r="B28" s="31" t="s">
        <v>322</v>
      </c>
      <c r="C28" s="32">
        <v>47</v>
      </c>
      <c r="D28" s="31" t="s">
        <v>251</v>
      </c>
      <c r="E28" s="31" t="s">
        <v>280</v>
      </c>
      <c r="F28" s="33" t="s">
        <v>323</v>
      </c>
      <c r="G28" s="31" t="s">
        <v>137</v>
      </c>
      <c r="H28" s="31" t="s">
        <v>194</v>
      </c>
      <c r="I28" s="31" t="s">
        <v>156</v>
      </c>
      <c r="J28" s="31" t="s">
        <v>193</v>
      </c>
      <c r="K28" s="31" t="s">
        <v>135</v>
      </c>
      <c r="L28" s="31" t="s">
        <v>137</v>
      </c>
      <c r="M28" s="34">
        <v>27.8</v>
      </c>
      <c r="N28" s="34">
        <v>28.6</v>
      </c>
      <c r="O28" s="35">
        <v>2.2000000000000002</v>
      </c>
      <c r="P28" s="35">
        <v>-0.31</v>
      </c>
      <c r="Q28" s="32">
        <v>150</v>
      </c>
      <c r="R28" s="35">
        <v>2.5299999999999998</v>
      </c>
      <c r="S28" s="35">
        <v>-0.39</v>
      </c>
      <c r="T28" s="32">
        <v>154</v>
      </c>
      <c r="U28" s="31" t="s">
        <v>324</v>
      </c>
      <c r="V28" s="31" t="s">
        <v>259</v>
      </c>
      <c r="W28" s="31" t="s">
        <v>161</v>
      </c>
      <c r="X28" s="31" t="s">
        <v>161</v>
      </c>
      <c r="Y28" s="31" t="s">
        <v>162</v>
      </c>
      <c r="Z28" s="31" t="s">
        <v>163</v>
      </c>
      <c r="AA28" s="31" t="s">
        <v>325</v>
      </c>
      <c r="AB28" s="31" t="s">
        <v>311</v>
      </c>
      <c r="AC28" s="31" t="s">
        <v>188</v>
      </c>
      <c r="AD28" s="31" t="s">
        <v>146</v>
      </c>
      <c r="AE28" s="31" t="s">
        <v>146</v>
      </c>
      <c r="AF28" s="31" t="s">
        <v>148</v>
      </c>
      <c r="AG28" s="31" t="s">
        <v>168</v>
      </c>
      <c r="AH28" s="31" t="s">
        <v>169</v>
      </c>
      <c r="AI28" s="31" t="s">
        <v>149</v>
      </c>
      <c r="AJ28" s="31" t="s">
        <v>150</v>
      </c>
      <c r="AK28" s="31" t="s">
        <v>151</v>
      </c>
      <c r="AL28" s="31" t="s">
        <v>150</v>
      </c>
      <c r="AM28" s="31" t="s">
        <v>151</v>
      </c>
      <c r="AN28" s="31" t="s">
        <v>151</v>
      </c>
      <c r="AO28" s="31" t="s">
        <v>150</v>
      </c>
      <c r="AP28" s="31" t="s">
        <v>150</v>
      </c>
      <c r="AQ28" s="31" t="s">
        <v>151</v>
      </c>
      <c r="AR28" s="31" t="s">
        <v>150</v>
      </c>
      <c r="AS28" s="31" t="s">
        <v>150</v>
      </c>
      <c r="AT28" s="31" t="s">
        <v>151</v>
      </c>
      <c r="AU28" s="31" t="s">
        <v>151</v>
      </c>
      <c r="AV28" s="31" t="s">
        <v>151</v>
      </c>
      <c r="AW28" s="31" t="s">
        <v>151</v>
      </c>
      <c r="AX28" s="31" t="s">
        <v>151</v>
      </c>
      <c r="AY28" s="31" t="s">
        <v>150</v>
      </c>
    </row>
    <row r="29" spans="1:51" ht="15" customHeight="1" x14ac:dyDescent="0.25">
      <c r="A29" s="31" t="s">
        <v>326</v>
      </c>
      <c r="B29" s="31" t="s">
        <v>327</v>
      </c>
      <c r="C29" s="32">
        <v>24</v>
      </c>
      <c r="D29" s="31" t="s">
        <v>147</v>
      </c>
      <c r="E29" s="31" t="s">
        <v>245</v>
      </c>
      <c r="F29" s="33" t="s">
        <v>328</v>
      </c>
      <c r="G29" s="31" t="s">
        <v>137</v>
      </c>
      <c r="H29" s="31" t="s">
        <v>135</v>
      </c>
      <c r="I29" s="31" t="s">
        <v>137</v>
      </c>
      <c r="J29" s="31" t="s">
        <v>136</v>
      </c>
      <c r="K29" s="31" t="s">
        <v>135</v>
      </c>
      <c r="L29" s="31" t="s">
        <v>309</v>
      </c>
      <c r="M29" s="34">
        <v>14.7</v>
      </c>
      <c r="N29" s="34">
        <v>14</v>
      </c>
      <c r="O29" s="35">
        <v>-0.54</v>
      </c>
      <c r="P29" s="35">
        <v>-2.58</v>
      </c>
      <c r="Q29" s="32">
        <v>105</v>
      </c>
      <c r="R29" s="35">
        <v>0.27</v>
      </c>
      <c r="S29" s="35">
        <v>-2.41</v>
      </c>
      <c r="T29" s="32">
        <v>95</v>
      </c>
      <c r="U29" s="31" t="s">
        <v>329</v>
      </c>
      <c r="V29" s="31" t="s">
        <v>186</v>
      </c>
      <c r="W29" s="31" t="s">
        <v>187</v>
      </c>
      <c r="X29" s="31" t="s">
        <v>161</v>
      </c>
      <c r="Y29" s="31" t="s">
        <v>162</v>
      </c>
      <c r="Z29" s="31" t="s">
        <v>143</v>
      </c>
      <c r="AA29" s="31" t="s">
        <v>248</v>
      </c>
      <c r="AB29" s="31" t="s">
        <v>144</v>
      </c>
      <c r="AC29" s="31" t="s">
        <v>296</v>
      </c>
      <c r="AD29" s="31" t="s">
        <v>146</v>
      </c>
      <c r="AE29" s="31" t="s">
        <v>146</v>
      </c>
      <c r="AF29" s="31" t="s">
        <v>148</v>
      </c>
      <c r="AG29" s="31" t="s">
        <v>168</v>
      </c>
      <c r="AH29" s="31" t="s">
        <v>149</v>
      </c>
      <c r="AI29" s="31" t="s">
        <v>149</v>
      </c>
      <c r="AJ29" s="31" t="s">
        <v>150</v>
      </c>
      <c r="AK29" s="31" t="s">
        <v>151</v>
      </c>
      <c r="AL29" s="31" t="s">
        <v>151</v>
      </c>
      <c r="AM29" s="31" t="s">
        <v>150</v>
      </c>
      <c r="AN29" s="31" t="s">
        <v>151</v>
      </c>
      <c r="AO29" s="31" t="s">
        <v>150</v>
      </c>
      <c r="AP29" s="31" t="s">
        <v>150</v>
      </c>
      <c r="AQ29" s="31" t="s">
        <v>151</v>
      </c>
      <c r="AR29" s="31" t="s">
        <v>150</v>
      </c>
      <c r="AS29" s="31" t="s">
        <v>147</v>
      </c>
      <c r="AT29" s="31" t="s">
        <v>151</v>
      </c>
      <c r="AU29" s="31" t="s">
        <v>151</v>
      </c>
      <c r="AV29" s="31" t="s">
        <v>151</v>
      </c>
      <c r="AW29" s="31" t="s">
        <v>150</v>
      </c>
      <c r="AX29" s="31" t="s">
        <v>151</v>
      </c>
      <c r="AY29" s="31" t="s">
        <v>150</v>
      </c>
    </row>
    <row r="30" spans="1:51" ht="15" customHeight="1" x14ac:dyDescent="0.25">
      <c r="A30" s="31" t="s">
        <v>330</v>
      </c>
      <c r="B30" s="31" t="s">
        <v>331</v>
      </c>
      <c r="C30" s="32">
        <v>29</v>
      </c>
      <c r="D30" s="31" t="s">
        <v>132</v>
      </c>
      <c r="E30" s="31" t="s">
        <v>332</v>
      </c>
      <c r="F30" s="33" t="s">
        <v>333</v>
      </c>
      <c r="G30" s="31" t="s">
        <v>175</v>
      </c>
      <c r="H30" s="31" t="s">
        <v>194</v>
      </c>
      <c r="I30" s="31" t="s">
        <v>158</v>
      </c>
      <c r="J30" s="31" t="s">
        <v>135</v>
      </c>
      <c r="K30" s="31" t="s">
        <v>174</v>
      </c>
      <c r="L30" s="31" t="s">
        <v>136</v>
      </c>
      <c r="M30" s="34">
        <v>19</v>
      </c>
      <c r="N30" s="34">
        <v>19.100000000000001</v>
      </c>
      <c r="O30" s="35">
        <v>-3.55</v>
      </c>
      <c r="P30" s="35">
        <v>-0.28999999999999998</v>
      </c>
      <c r="Q30" s="32">
        <v>20</v>
      </c>
      <c r="R30" s="35">
        <v>-3.8</v>
      </c>
      <c r="S30" s="35">
        <v>-0.47</v>
      </c>
      <c r="T30" s="32">
        <v>21</v>
      </c>
      <c r="U30" s="31" t="s">
        <v>334</v>
      </c>
      <c r="V30" s="31" t="s">
        <v>139</v>
      </c>
      <c r="W30" s="31" t="s">
        <v>140</v>
      </c>
      <c r="X30" s="31" t="s">
        <v>141</v>
      </c>
      <c r="Y30" s="31" t="s">
        <v>162</v>
      </c>
      <c r="Z30" s="31" t="s">
        <v>143</v>
      </c>
      <c r="AA30" s="31"/>
      <c r="AB30" s="31" t="s">
        <v>311</v>
      </c>
      <c r="AC30" s="31" t="s">
        <v>206</v>
      </c>
      <c r="AD30" s="31" t="s">
        <v>221</v>
      </c>
      <c r="AE30" s="31" t="s">
        <v>146</v>
      </c>
      <c r="AF30" s="31" t="s">
        <v>167</v>
      </c>
      <c r="AG30" s="31" t="s">
        <v>168</v>
      </c>
      <c r="AH30" s="31" t="s">
        <v>149</v>
      </c>
      <c r="AI30" s="31" t="s">
        <v>149</v>
      </c>
      <c r="AJ30" s="31" t="s">
        <v>150</v>
      </c>
      <c r="AK30" s="31" t="s">
        <v>151</v>
      </c>
      <c r="AL30" s="31" t="s">
        <v>151</v>
      </c>
      <c r="AM30" s="31" t="s">
        <v>151</v>
      </c>
      <c r="AN30" s="31" t="s">
        <v>151</v>
      </c>
      <c r="AO30" s="31" t="s">
        <v>150</v>
      </c>
      <c r="AP30" s="31" t="s">
        <v>150</v>
      </c>
      <c r="AQ30" s="31" t="s">
        <v>147</v>
      </c>
      <c r="AR30" s="31" t="s">
        <v>151</v>
      </c>
      <c r="AS30" s="31" t="s">
        <v>151</v>
      </c>
      <c r="AT30" s="31" t="s">
        <v>151</v>
      </c>
      <c r="AU30" s="31" t="s">
        <v>151</v>
      </c>
      <c r="AV30" s="31" t="s">
        <v>147</v>
      </c>
      <c r="AW30" s="31" t="s">
        <v>151</v>
      </c>
      <c r="AX30" s="31" t="s">
        <v>151</v>
      </c>
      <c r="AY30" s="31" t="s">
        <v>150</v>
      </c>
    </row>
    <row r="31" spans="1:51" ht="15" customHeight="1" x14ac:dyDescent="0.25">
      <c r="A31" s="31" t="s">
        <v>335</v>
      </c>
      <c r="B31" s="31" t="s">
        <v>336</v>
      </c>
      <c r="C31" s="32">
        <v>38</v>
      </c>
      <c r="D31" s="31" t="s">
        <v>251</v>
      </c>
      <c r="E31" s="31" t="s">
        <v>280</v>
      </c>
      <c r="F31" s="33" t="s">
        <v>337</v>
      </c>
      <c r="G31" s="31" t="s">
        <v>157</v>
      </c>
      <c r="H31" s="31" t="s">
        <v>194</v>
      </c>
      <c r="I31" s="31" t="s">
        <v>136</v>
      </c>
      <c r="J31" s="31" t="s">
        <v>194</v>
      </c>
      <c r="K31" s="31" t="s">
        <v>174</v>
      </c>
      <c r="L31" s="31" t="s">
        <v>135</v>
      </c>
      <c r="M31" s="34">
        <v>13.4</v>
      </c>
      <c r="N31" s="34">
        <v>16.399999999999999</v>
      </c>
      <c r="O31" s="35">
        <v>0.9</v>
      </c>
      <c r="P31" s="35">
        <v>-0.73</v>
      </c>
      <c r="Q31" s="32">
        <v>150</v>
      </c>
      <c r="R31" s="35">
        <v>0.19</v>
      </c>
      <c r="S31" s="35">
        <v>-0.9</v>
      </c>
      <c r="T31" s="32">
        <v>155</v>
      </c>
      <c r="U31" s="31" t="s">
        <v>338</v>
      </c>
      <c r="V31" s="31" t="s">
        <v>211</v>
      </c>
      <c r="W31" s="31" t="s">
        <v>140</v>
      </c>
      <c r="X31" s="31" t="s">
        <v>161</v>
      </c>
      <c r="Y31" s="31" t="s">
        <v>162</v>
      </c>
      <c r="Z31" s="31" t="s">
        <v>143</v>
      </c>
      <c r="AA31" s="31"/>
      <c r="AB31" s="31" t="s">
        <v>277</v>
      </c>
      <c r="AC31" s="31" t="s">
        <v>198</v>
      </c>
      <c r="AD31" s="31" t="s">
        <v>147</v>
      </c>
      <c r="AE31" s="31" t="s">
        <v>147</v>
      </c>
      <c r="AF31" s="31" t="s">
        <v>148</v>
      </c>
      <c r="AG31" s="31" t="s">
        <v>168</v>
      </c>
      <c r="AH31" s="31" t="s">
        <v>169</v>
      </c>
      <c r="AI31" s="31" t="s">
        <v>149</v>
      </c>
      <c r="AJ31" s="31" t="s">
        <v>150</v>
      </c>
      <c r="AK31" s="31" t="s">
        <v>150</v>
      </c>
      <c r="AL31" s="31" t="s">
        <v>151</v>
      </c>
      <c r="AM31" s="31" t="s">
        <v>150</v>
      </c>
      <c r="AN31" s="31" t="s">
        <v>151</v>
      </c>
      <c r="AO31" s="31" t="s">
        <v>151</v>
      </c>
      <c r="AP31" s="31" t="s">
        <v>150</v>
      </c>
      <c r="AQ31" s="31" t="s">
        <v>151</v>
      </c>
      <c r="AR31" s="31" t="s">
        <v>147</v>
      </c>
      <c r="AS31" s="31" t="s">
        <v>151</v>
      </c>
      <c r="AT31" s="31" t="s">
        <v>151</v>
      </c>
      <c r="AU31" s="31" t="s">
        <v>151</v>
      </c>
      <c r="AV31" s="31" t="s">
        <v>151</v>
      </c>
      <c r="AW31" s="31" t="s">
        <v>151</v>
      </c>
      <c r="AX31" s="31" t="s">
        <v>151</v>
      </c>
      <c r="AY31" s="31" t="s">
        <v>151</v>
      </c>
    </row>
    <row r="32" spans="1:51" ht="15" customHeight="1" x14ac:dyDescent="0.25">
      <c r="A32" s="31" t="s">
        <v>339</v>
      </c>
      <c r="B32" s="31" t="s">
        <v>340</v>
      </c>
      <c r="C32" s="32">
        <v>23</v>
      </c>
      <c r="D32" s="31" t="s">
        <v>251</v>
      </c>
      <c r="E32" s="31" t="s">
        <v>201</v>
      </c>
      <c r="F32" s="33" t="s">
        <v>341</v>
      </c>
      <c r="G32" s="31" t="s">
        <v>157</v>
      </c>
      <c r="H32" s="31" t="s">
        <v>194</v>
      </c>
      <c r="I32" s="31" t="s">
        <v>136</v>
      </c>
      <c r="J32" s="31" t="s">
        <v>136</v>
      </c>
      <c r="K32" s="31" t="s">
        <v>135</v>
      </c>
      <c r="L32" s="31" t="s">
        <v>137</v>
      </c>
      <c r="M32" s="34">
        <v>15.1</v>
      </c>
      <c r="N32" s="34">
        <v>15.8</v>
      </c>
      <c r="O32" s="35">
        <v>1.5</v>
      </c>
      <c r="P32" s="35">
        <v>-1.2</v>
      </c>
      <c r="Q32" s="32">
        <v>160</v>
      </c>
      <c r="R32" s="35">
        <v>1.08</v>
      </c>
      <c r="S32" s="35">
        <v>-1.32</v>
      </c>
      <c r="T32" s="32">
        <v>156</v>
      </c>
      <c r="U32" s="31" t="s">
        <v>342</v>
      </c>
      <c r="V32" s="31" t="s">
        <v>160</v>
      </c>
      <c r="W32" s="31" t="s">
        <v>161</v>
      </c>
      <c r="X32" s="31" t="s">
        <v>141</v>
      </c>
      <c r="Y32" s="31" t="s">
        <v>162</v>
      </c>
      <c r="Z32" s="31" t="s">
        <v>143</v>
      </c>
      <c r="AA32" s="31"/>
      <c r="AB32" s="31" t="s">
        <v>179</v>
      </c>
      <c r="AC32" s="31" t="s">
        <v>188</v>
      </c>
      <c r="AD32" s="31" t="s">
        <v>221</v>
      </c>
      <c r="AE32" s="31" t="s">
        <v>146</v>
      </c>
      <c r="AF32" s="31" t="s">
        <v>148</v>
      </c>
      <c r="AG32" s="31" t="s">
        <v>148</v>
      </c>
      <c r="AH32" s="31" t="s">
        <v>149</v>
      </c>
      <c r="AI32" s="31" t="s">
        <v>149</v>
      </c>
      <c r="AJ32" s="31" t="s">
        <v>151</v>
      </c>
      <c r="AK32" s="31" t="s">
        <v>151</v>
      </c>
      <c r="AL32" s="31" t="s">
        <v>150</v>
      </c>
      <c r="AM32" s="31" t="s">
        <v>151</v>
      </c>
      <c r="AN32" s="31" t="s">
        <v>151</v>
      </c>
      <c r="AO32" s="31" t="s">
        <v>151</v>
      </c>
      <c r="AP32" s="31" t="s">
        <v>150</v>
      </c>
      <c r="AQ32" s="31" t="s">
        <v>151</v>
      </c>
      <c r="AR32" s="31" t="s">
        <v>150</v>
      </c>
      <c r="AS32" s="31" t="s">
        <v>151</v>
      </c>
      <c r="AT32" s="31" t="s">
        <v>151</v>
      </c>
      <c r="AU32" s="31" t="s">
        <v>151</v>
      </c>
      <c r="AV32" s="31" t="s">
        <v>151</v>
      </c>
      <c r="AW32" s="31" t="s">
        <v>151</v>
      </c>
      <c r="AX32" s="31" t="s">
        <v>151</v>
      </c>
      <c r="AY32" s="31" t="s">
        <v>150</v>
      </c>
    </row>
    <row r="33" spans="1:51" ht="15" customHeight="1" x14ac:dyDescent="0.25">
      <c r="A33" s="31" t="s">
        <v>343</v>
      </c>
      <c r="B33" s="31" t="s">
        <v>344</v>
      </c>
      <c r="C33" s="32">
        <v>69</v>
      </c>
      <c r="D33" s="31" t="s">
        <v>251</v>
      </c>
      <c r="E33" s="31" t="s">
        <v>292</v>
      </c>
      <c r="F33" s="33" t="s">
        <v>345</v>
      </c>
      <c r="G33" s="31" t="s">
        <v>136</v>
      </c>
      <c r="H33" s="31" t="s">
        <v>174</v>
      </c>
      <c r="I33" s="31" t="s">
        <v>156</v>
      </c>
      <c r="J33" s="31" t="s">
        <v>137</v>
      </c>
      <c r="K33" s="31" t="s">
        <v>136</v>
      </c>
      <c r="L33" s="31" t="s">
        <v>136</v>
      </c>
      <c r="M33" s="34">
        <v>16.8</v>
      </c>
      <c r="N33" s="34">
        <v>15</v>
      </c>
      <c r="O33" s="35">
        <v>1.64</v>
      </c>
      <c r="P33" s="35">
        <v>0</v>
      </c>
      <c r="Q33" s="32">
        <v>160</v>
      </c>
      <c r="R33" s="35">
        <v>2.38</v>
      </c>
      <c r="S33" s="35">
        <v>-0.38</v>
      </c>
      <c r="T33" s="32">
        <v>157</v>
      </c>
      <c r="U33" s="31" t="s">
        <v>346</v>
      </c>
      <c r="V33" s="31" t="s">
        <v>186</v>
      </c>
      <c r="W33" s="31" t="s">
        <v>140</v>
      </c>
      <c r="X33" s="31" t="s">
        <v>161</v>
      </c>
      <c r="Y33" s="31" t="s">
        <v>305</v>
      </c>
      <c r="Z33" s="31" t="s">
        <v>178</v>
      </c>
      <c r="AA33" s="31" t="s">
        <v>248</v>
      </c>
      <c r="AB33" s="31" t="s">
        <v>165</v>
      </c>
      <c r="AC33" s="31" t="s">
        <v>198</v>
      </c>
      <c r="AD33" s="31" t="s">
        <v>146</v>
      </c>
      <c r="AE33" s="31" t="s">
        <v>146</v>
      </c>
      <c r="AF33" s="31" t="s">
        <v>148</v>
      </c>
      <c r="AG33" s="31" t="s">
        <v>168</v>
      </c>
      <c r="AH33" s="31" t="s">
        <v>149</v>
      </c>
      <c r="AI33" s="31" t="s">
        <v>149</v>
      </c>
      <c r="AJ33" s="31" t="s">
        <v>150</v>
      </c>
      <c r="AK33" s="31" t="s">
        <v>151</v>
      </c>
      <c r="AL33" s="31" t="s">
        <v>150</v>
      </c>
      <c r="AM33" s="31" t="s">
        <v>151</v>
      </c>
      <c r="AN33" s="31" t="s">
        <v>150</v>
      </c>
      <c r="AO33" s="31" t="s">
        <v>150</v>
      </c>
      <c r="AP33" s="31" t="s">
        <v>150</v>
      </c>
      <c r="AQ33" s="31" t="s">
        <v>151</v>
      </c>
      <c r="AR33" s="31" t="s">
        <v>150</v>
      </c>
      <c r="AS33" s="31" t="s">
        <v>151</v>
      </c>
      <c r="AT33" s="31" t="s">
        <v>151</v>
      </c>
      <c r="AU33" s="31" t="s">
        <v>151</v>
      </c>
      <c r="AV33" s="31" t="s">
        <v>151</v>
      </c>
      <c r="AW33" s="31" t="s">
        <v>151</v>
      </c>
      <c r="AX33" s="31" t="s">
        <v>151</v>
      </c>
      <c r="AY33" s="31" t="s">
        <v>151</v>
      </c>
    </row>
    <row r="34" spans="1:51" ht="15" customHeight="1" x14ac:dyDescent="0.25">
      <c r="A34" s="31" t="s">
        <v>347</v>
      </c>
      <c r="B34" s="31" t="s">
        <v>348</v>
      </c>
      <c r="C34" s="32">
        <v>60</v>
      </c>
      <c r="D34" s="31" t="s">
        <v>132</v>
      </c>
      <c r="E34" s="31" t="s">
        <v>216</v>
      </c>
      <c r="F34" s="33" t="s">
        <v>349</v>
      </c>
      <c r="G34" s="31" t="s">
        <v>156</v>
      </c>
      <c r="H34" s="31" t="s">
        <v>137</v>
      </c>
      <c r="I34" s="31" t="s">
        <v>137</v>
      </c>
      <c r="J34" s="31" t="s">
        <v>136</v>
      </c>
      <c r="K34" s="31" t="s">
        <v>135</v>
      </c>
      <c r="L34" s="31" t="s">
        <v>156</v>
      </c>
      <c r="M34" s="34">
        <v>13.2</v>
      </c>
      <c r="N34" s="34">
        <v>13.8</v>
      </c>
      <c r="O34" s="35">
        <v>1.26</v>
      </c>
      <c r="P34" s="35">
        <v>-0.95</v>
      </c>
      <c r="Q34" s="32">
        <v>0</v>
      </c>
      <c r="R34" s="35">
        <v>0.94</v>
      </c>
      <c r="S34" s="35">
        <v>-1.76</v>
      </c>
      <c r="T34" s="32">
        <v>0</v>
      </c>
      <c r="U34" s="31" t="s">
        <v>350</v>
      </c>
      <c r="V34" s="31" t="s">
        <v>259</v>
      </c>
      <c r="W34" s="31" t="s">
        <v>140</v>
      </c>
      <c r="X34" s="31" t="s">
        <v>141</v>
      </c>
      <c r="Y34" s="31" t="s">
        <v>162</v>
      </c>
      <c r="Z34" s="31" t="s">
        <v>143</v>
      </c>
      <c r="AA34" s="31"/>
      <c r="AB34" s="31" t="s">
        <v>165</v>
      </c>
      <c r="AC34" s="31" t="s">
        <v>206</v>
      </c>
      <c r="AD34" s="31" t="s">
        <v>146</v>
      </c>
      <c r="AE34" s="31" t="s">
        <v>146</v>
      </c>
      <c r="AF34" s="31" t="s">
        <v>168</v>
      </c>
      <c r="AG34" s="31" t="s">
        <v>148</v>
      </c>
      <c r="AH34" s="31" t="s">
        <v>149</v>
      </c>
      <c r="AI34" s="31" t="s">
        <v>169</v>
      </c>
      <c r="AJ34" s="31" t="s">
        <v>151</v>
      </c>
      <c r="AK34" s="31" t="s">
        <v>151</v>
      </c>
      <c r="AL34" s="31" t="s">
        <v>150</v>
      </c>
      <c r="AM34" s="31" t="s">
        <v>151</v>
      </c>
      <c r="AN34" s="31" t="s">
        <v>151</v>
      </c>
      <c r="AO34" s="31" t="s">
        <v>150</v>
      </c>
      <c r="AP34" s="31" t="s">
        <v>150</v>
      </c>
      <c r="AQ34" s="31" t="s">
        <v>151</v>
      </c>
      <c r="AR34" s="31" t="s">
        <v>150</v>
      </c>
      <c r="AS34" s="31" t="s">
        <v>150</v>
      </c>
      <c r="AT34" s="31" t="s">
        <v>150</v>
      </c>
      <c r="AU34" s="31" t="s">
        <v>151</v>
      </c>
      <c r="AV34" s="31" t="s">
        <v>151</v>
      </c>
      <c r="AW34" s="31" t="s">
        <v>151</v>
      </c>
      <c r="AX34" s="31" t="s">
        <v>151</v>
      </c>
      <c r="AY34" s="31" t="s">
        <v>150</v>
      </c>
    </row>
    <row r="35" spans="1:51" ht="15" customHeight="1" x14ac:dyDescent="0.25">
      <c r="A35" s="31" t="s">
        <v>351</v>
      </c>
      <c r="B35" s="31" t="s">
        <v>352</v>
      </c>
      <c r="C35" s="32">
        <v>33</v>
      </c>
      <c r="D35" s="31" t="s">
        <v>251</v>
      </c>
      <c r="E35" s="31" t="s">
        <v>245</v>
      </c>
      <c r="F35" s="33" t="s">
        <v>353</v>
      </c>
      <c r="G35" s="31" t="s">
        <v>175</v>
      </c>
      <c r="H35" s="31" t="s">
        <v>174</v>
      </c>
      <c r="I35" s="31" t="s">
        <v>175</v>
      </c>
      <c r="J35" s="31" t="s">
        <v>135</v>
      </c>
      <c r="K35" s="31" t="s">
        <v>174</v>
      </c>
      <c r="L35" s="31" t="s">
        <v>136</v>
      </c>
      <c r="M35" s="34">
        <v>11.5</v>
      </c>
      <c r="N35" s="34">
        <v>13.8</v>
      </c>
      <c r="O35" s="35">
        <v>-4.47</v>
      </c>
      <c r="P35" s="35">
        <v>-0.78</v>
      </c>
      <c r="Q35" s="32">
        <v>135</v>
      </c>
      <c r="R35" s="35">
        <v>-4.62</v>
      </c>
      <c r="S35" s="35">
        <v>-0.42</v>
      </c>
      <c r="T35" s="32">
        <v>126</v>
      </c>
      <c r="U35" s="31" t="s">
        <v>354</v>
      </c>
      <c r="V35" s="31" t="s">
        <v>211</v>
      </c>
      <c r="W35" s="31" t="s">
        <v>140</v>
      </c>
      <c r="X35" s="31" t="s">
        <v>141</v>
      </c>
      <c r="Y35" s="31" t="s">
        <v>162</v>
      </c>
      <c r="Z35" s="31" t="s">
        <v>143</v>
      </c>
      <c r="AA35" s="31"/>
      <c r="AB35" s="31" t="s">
        <v>220</v>
      </c>
      <c r="AC35" s="31" t="s">
        <v>267</v>
      </c>
      <c r="AD35" s="31" t="s">
        <v>146</v>
      </c>
      <c r="AE35" s="31" t="s">
        <v>147</v>
      </c>
      <c r="AF35" s="31" t="s">
        <v>168</v>
      </c>
      <c r="AG35" s="31" t="s">
        <v>168</v>
      </c>
      <c r="AH35" s="31" t="s">
        <v>149</v>
      </c>
      <c r="AI35" s="31" t="s">
        <v>149</v>
      </c>
      <c r="AJ35" s="31" t="s">
        <v>150</v>
      </c>
      <c r="AK35" s="31" t="s">
        <v>151</v>
      </c>
      <c r="AL35" s="31" t="s">
        <v>147</v>
      </c>
      <c r="AM35" s="31" t="s">
        <v>150</v>
      </c>
      <c r="AN35" s="31" t="s">
        <v>151</v>
      </c>
      <c r="AO35" s="31" t="s">
        <v>150</v>
      </c>
      <c r="AP35" s="31" t="s">
        <v>150</v>
      </c>
      <c r="AQ35" s="31" t="s">
        <v>151</v>
      </c>
      <c r="AR35" s="31" t="s">
        <v>150</v>
      </c>
      <c r="AS35" s="31" t="s">
        <v>151</v>
      </c>
      <c r="AT35" s="31" t="s">
        <v>151</v>
      </c>
      <c r="AU35" s="31" t="s">
        <v>150</v>
      </c>
      <c r="AV35" s="31" t="s">
        <v>151</v>
      </c>
      <c r="AW35" s="31" t="s">
        <v>151</v>
      </c>
      <c r="AX35" s="31" t="s">
        <v>151</v>
      </c>
      <c r="AY35" s="31" t="s">
        <v>151</v>
      </c>
    </row>
    <row r="36" spans="1:51" ht="15" customHeight="1" x14ac:dyDescent="0.25">
      <c r="A36" s="31" t="s">
        <v>355</v>
      </c>
      <c r="B36" s="31" t="s">
        <v>356</v>
      </c>
      <c r="C36" s="32">
        <v>58</v>
      </c>
      <c r="D36" s="31" t="s">
        <v>132</v>
      </c>
      <c r="E36" s="31" t="s">
        <v>216</v>
      </c>
      <c r="F36" s="33" t="s">
        <v>357</v>
      </c>
      <c r="G36" s="31" t="s">
        <v>135</v>
      </c>
      <c r="H36" s="31" t="s">
        <v>194</v>
      </c>
      <c r="I36" s="31" t="s">
        <v>156</v>
      </c>
      <c r="J36" s="31" t="s">
        <v>158</v>
      </c>
      <c r="K36" s="31" t="s">
        <v>136</v>
      </c>
      <c r="L36" s="31" t="s">
        <v>137</v>
      </c>
      <c r="M36" s="34">
        <v>15.5</v>
      </c>
      <c r="N36" s="34">
        <v>14.1</v>
      </c>
      <c r="O36" s="35">
        <v>0.45</v>
      </c>
      <c r="P36" s="35">
        <v>-1.44</v>
      </c>
      <c r="Q36" s="32">
        <v>20</v>
      </c>
      <c r="R36" s="35">
        <v>0.52</v>
      </c>
      <c r="S36" s="35">
        <v>-1.42</v>
      </c>
      <c r="T36" s="32">
        <v>17</v>
      </c>
      <c r="U36" s="31" t="s">
        <v>358</v>
      </c>
      <c r="V36" s="31" t="s">
        <v>186</v>
      </c>
      <c r="W36" s="31" t="s">
        <v>161</v>
      </c>
      <c r="X36" s="31" t="s">
        <v>161</v>
      </c>
      <c r="Y36" s="31" t="s">
        <v>162</v>
      </c>
      <c r="Z36" s="31" t="s">
        <v>241</v>
      </c>
      <c r="AA36" s="31" t="s">
        <v>242</v>
      </c>
      <c r="AB36" s="31" t="s">
        <v>205</v>
      </c>
      <c r="AC36" s="31" t="s">
        <v>198</v>
      </c>
      <c r="AD36" s="31" t="s">
        <v>221</v>
      </c>
      <c r="AE36" s="31" t="s">
        <v>147</v>
      </c>
      <c r="AF36" s="31" t="s">
        <v>148</v>
      </c>
      <c r="AG36" s="31" t="s">
        <v>148</v>
      </c>
      <c r="AH36" s="31" t="s">
        <v>149</v>
      </c>
      <c r="AI36" s="31" t="s">
        <v>169</v>
      </c>
      <c r="AJ36" s="31" t="s">
        <v>151</v>
      </c>
      <c r="AK36" s="31" t="s">
        <v>151</v>
      </c>
      <c r="AL36" s="31" t="s">
        <v>151</v>
      </c>
      <c r="AM36" s="31" t="s">
        <v>151</v>
      </c>
      <c r="AN36" s="31" t="s">
        <v>150</v>
      </c>
      <c r="AO36" s="31" t="s">
        <v>150</v>
      </c>
      <c r="AP36" s="31" t="s">
        <v>147</v>
      </c>
      <c r="AQ36" s="31" t="s">
        <v>151</v>
      </c>
      <c r="AR36" s="31" t="s">
        <v>150</v>
      </c>
      <c r="AS36" s="31" t="s">
        <v>151</v>
      </c>
      <c r="AT36" s="31" t="s">
        <v>151</v>
      </c>
      <c r="AU36" s="31" t="s">
        <v>150</v>
      </c>
      <c r="AV36" s="31" t="s">
        <v>151</v>
      </c>
      <c r="AW36" s="31" t="s">
        <v>151</v>
      </c>
      <c r="AX36" s="31" t="s">
        <v>151</v>
      </c>
      <c r="AY36" s="31" t="s">
        <v>151</v>
      </c>
    </row>
    <row r="37" spans="1:51" ht="15" customHeight="1" x14ac:dyDescent="0.25">
      <c r="A37" s="31" t="s">
        <v>359</v>
      </c>
      <c r="B37" s="31" t="s">
        <v>360</v>
      </c>
      <c r="C37" s="32">
        <v>40</v>
      </c>
      <c r="D37" s="31" t="s">
        <v>251</v>
      </c>
      <c r="E37" s="31" t="s">
        <v>332</v>
      </c>
      <c r="F37" s="33" t="s">
        <v>361</v>
      </c>
      <c r="G37" s="31" t="s">
        <v>194</v>
      </c>
      <c r="H37" s="31" t="s">
        <v>264</v>
      </c>
      <c r="I37" s="31" t="s">
        <v>135</v>
      </c>
      <c r="J37" s="31" t="s">
        <v>194</v>
      </c>
      <c r="K37" s="31" t="s">
        <v>136</v>
      </c>
      <c r="L37" s="31" t="s">
        <v>175</v>
      </c>
      <c r="M37" s="34">
        <v>17.600000000000001</v>
      </c>
      <c r="N37" s="34">
        <v>19.8</v>
      </c>
      <c r="O37" s="35">
        <v>-3.97</v>
      </c>
      <c r="P37" s="35">
        <v>-2.66</v>
      </c>
      <c r="Q37" s="32">
        <v>90</v>
      </c>
      <c r="R37" s="35">
        <v>-3.22</v>
      </c>
      <c r="S37" s="35">
        <v>-2.7</v>
      </c>
      <c r="T37" s="32">
        <v>93</v>
      </c>
      <c r="U37" s="31" t="s">
        <v>362</v>
      </c>
      <c r="V37" s="31" t="s">
        <v>177</v>
      </c>
      <c r="W37" s="31" t="s">
        <v>140</v>
      </c>
      <c r="X37" s="31" t="s">
        <v>141</v>
      </c>
      <c r="Y37" s="31" t="s">
        <v>162</v>
      </c>
      <c r="Z37" s="31" t="s">
        <v>143</v>
      </c>
      <c r="AA37" s="31"/>
      <c r="AB37" s="31" t="s">
        <v>197</v>
      </c>
      <c r="AC37" s="31" t="s">
        <v>226</v>
      </c>
      <c r="AD37" s="31" t="s">
        <v>146</v>
      </c>
      <c r="AE37" s="31" t="s">
        <v>147</v>
      </c>
      <c r="AF37" s="31" t="s">
        <v>167</v>
      </c>
      <c r="AG37" s="31" t="s">
        <v>168</v>
      </c>
      <c r="AH37" s="31" t="s">
        <v>149</v>
      </c>
      <c r="AI37" s="31" t="s">
        <v>147</v>
      </c>
      <c r="AJ37" s="31" t="s">
        <v>150</v>
      </c>
      <c r="AK37" s="31" t="s">
        <v>147</v>
      </c>
      <c r="AL37" s="31" t="s">
        <v>150</v>
      </c>
      <c r="AM37" s="31" t="s">
        <v>151</v>
      </c>
      <c r="AN37" s="31" t="s">
        <v>151</v>
      </c>
      <c r="AO37" s="31" t="s">
        <v>150</v>
      </c>
      <c r="AP37" s="31" t="s">
        <v>150</v>
      </c>
      <c r="AQ37" s="31" t="s">
        <v>151</v>
      </c>
      <c r="AR37" s="31" t="s">
        <v>150</v>
      </c>
      <c r="AS37" s="31" t="s">
        <v>151</v>
      </c>
      <c r="AT37" s="31" t="s">
        <v>151</v>
      </c>
      <c r="AU37" s="31" t="s">
        <v>151</v>
      </c>
      <c r="AV37" s="31" t="s">
        <v>150</v>
      </c>
      <c r="AW37" s="31" t="s">
        <v>151</v>
      </c>
      <c r="AX37" s="31" t="s">
        <v>151</v>
      </c>
      <c r="AY37" s="31" t="s">
        <v>150</v>
      </c>
    </row>
    <row r="38" spans="1:51" ht="15" customHeight="1" x14ac:dyDescent="0.25">
      <c r="A38" s="31" t="s">
        <v>363</v>
      </c>
      <c r="B38" s="31" t="s">
        <v>364</v>
      </c>
      <c r="C38" s="32">
        <v>43</v>
      </c>
      <c r="D38" s="31" t="s">
        <v>132</v>
      </c>
      <c r="E38" s="31" t="s">
        <v>292</v>
      </c>
      <c r="F38" s="33" t="s">
        <v>365</v>
      </c>
      <c r="G38" s="31" t="s">
        <v>137</v>
      </c>
      <c r="H38" s="31" t="s">
        <v>194</v>
      </c>
      <c r="I38" s="31" t="s">
        <v>136</v>
      </c>
      <c r="J38" s="31" t="s">
        <v>135</v>
      </c>
      <c r="K38" s="31" t="s">
        <v>194</v>
      </c>
      <c r="L38" s="31" t="s">
        <v>137</v>
      </c>
      <c r="M38" s="34">
        <v>13.5</v>
      </c>
      <c r="N38" s="34">
        <v>13.2</v>
      </c>
      <c r="O38" s="35">
        <v>-2.0299999999999998</v>
      </c>
      <c r="P38" s="35">
        <v>-0.14000000000000001</v>
      </c>
      <c r="Q38" s="32">
        <v>160</v>
      </c>
      <c r="R38" s="35">
        <v>-2.2400000000000002</v>
      </c>
      <c r="S38" s="35">
        <v>-0.05</v>
      </c>
      <c r="T38" s="32">
        <v>155</v>
      </c>
      <c r="U38" s="31" t="s">
        <v>366</v>
      </c>
      <c r="V38" s="31" t="s">
        <v>177</v>
      </c>
      <c r="W38" s="31" t="s">
        <v>367</v>
      </c>
      <c r="X38" s="31" t="s">
        <v>147</v>
      </c>
      <c r="Y38" s="31" t="s">
        <v>162</v>
      </c>
      <c r="Z38" s="31" t="s">
        <v>143</v>
      </c>
      <c r="AA38" s="31"/>
      <c r="AB38" s="31" t="s">
        <v>311</v>
      </c>
      <c r="AC38" s="31" t="s">
        <v>368</v>
      </c>
      <c r="AD38" s="31" t="s">
        <v>147</v>
      </c>
      <c r="AE38" s="31" t="s">
        <v>146</v>
      </c>
      <c r="AF38" s="31" t="s">
        <v>168</v>
      </c>
      <c r="AG38" s="31" t="s">
        <v>168</v>
      </c>
      <c r="AH38" s="31" t="s">
        <v>149</v>
      </c>
      <c r="AI38" s="31" t="s">
        <v>149</v>
      </c>
      <c r="AJ38" s="31" t="s">
        <v>150</v>
      </c>
      <c r="AK38" s="31" t="s">
        <v>147</v>
      </c>
      <c r="AL38" s="31" t="s">
        <v>150</v>
      </c>
      <c r="AM38" s="31" t="s">
        <v>150</v>
      </c>
      <c r="AN38" s="31" t="s">
        <v>151</v>
      </c>
      <c r="AO38" s="31" t="s">
        <v>150</v>
      </c>
      <c r="AP38" s="31" t="s">
        <v>150</v>
      </c>
      <c r="AQ38" s="31" t="s">
        <v>151</v>
      </c>
      <c r="AR38" s="31" t="s">
        <v>150</v>
      </c>
      <c r="AS38" s="31" t="s">
        <v>151</v>
      </c>
      <c r="AT38" s="31" t="s">
        <v>151</v>
      </c>
      <c r="AU38" s="31" t="s">
        <v>151</v>
      </c>
      <c r="AV38" s="31" t="s">
        <v>151</v>
      </c>
      <c r="AW38" s="31" t="s">
        <v>151</v>
      </c>
      <c r="AX38" s="31" t="s">
        <v>150</v>
      </c>
      <c r="AY38" s="31" t="s">
        <v>150</v>
      </c>
    </row>
    <row r="39" spans="1:51" ht="15" customHeight="1" x14ac:dyDescent="0.25">
      <c r="A39" s="31" t="s">
        <v>369</v>
      </c>
      <c r="B39" s="31" t="s">
        <v>131</v>
      </c>
      <c r="C39" s="32">
        <v>54</v>
      </c>
      <c r="D39" s="31" t="s">
        <v>132</v>
      </c>
      <c r="E39" s="31" t="s">
        <v>252</v>
      </c>
      <c r="F39" s="33" t="s">
        <v>370</v>
      </c>
      <c r="G39" s="31" t="s">
        <v>136</v>
      </c>
      <c r="H39" s="31" t="s">
        <v>135</v>
      </c>
      <c r="I39" s="31" t="s">
        <v>194</v>
      </c>
      <c r="J39" s="31" t="s">
        <v>156</v>
      </c>
      <c r="K39" s="31" t="s">
        <v>135</v>
      </c>
      <c r="L39" s="31" t="s">
        <v>136</v>
      </c>
      <c r="M39" s="34">
        <v>16.5</v>
      </c>
      <c r="N39" s="34">
        <v>17.600000000000001</v>
      </c>
      <c r="O39" s="35">
        <v>0.89</v>
      </c>
      <c r="P39" s="35">
        <v>-1.4</v>
      </c>
      <c r="Q39" s="32">
        <v>180</v>
      </c>
      <c r="R39" s="35">
        <v>0.6</v>
      </c>
      <c r="S39" s="35">
        <v>-1.21</v>
      </c>
      <c r="T39" s="32">
        <v>180</v>
      </c>
      <c r="U39" s="31" t="s">
        <v>371</v>
      </c>
      <c r="V39" s="31" t="s">
        <v>211</v>
      </c>
      <c r="W39" s="31" t="s">
        <v>187</v>
      </c>
      <c r="X39" s="31" t="s">
        <v>161</v>
      </c>
      <c r="Y39" s="31" t="s">
        <v>372</v>
      </c>
      <c r="Z39" s="31" t="s">
        <v>143</v>
      </c>
      <c r="AA39" s="31"/>
      <c r="AB39" s="31" t="s">
        <v>144</v>
      </c>
      <c r="AC39" s="31" t="s">
        <v>226</v>
      </c>
      <c r="AD39" s="31" t="s">
        <v>146</v>
      </c>
      <c r="AE39" s="31" t="s">
        <v>146</v>
      </c>
      <c r="AF39" s="31" t="s">
        <v>167</v>
      </c>
      <c r="AG39" s="31" t="s">
        <v>168</v>
      </c>
      <c r="AH39" s="31" t="s">
        <v>149</v>
      </c>
      <c r="AI39" s="31" t="s">
        <v>149</v>
      </c>
      <c r="AJ39" s="31" t="s">
        <v>150</v>
      </c>
      <c r="AK39" s="31" t="s">
        <v>151</v>
      </c>
      <c r="AL39" s="31" t="s">
        <v>151</v>
      </c>
      <c r="AM39" s="31" t="s">
        <v>150</v>
      </c>
      <c r="AN39" s="31" t="s">
        <v>151</v>
      </c>
      <c r="AO39" s="31" t="s">
        <v>151</v>
      </c>
      <c r="AP39" s="31" t="s">
        <v>151</v>
      </c>
      <c r="AQ39" s="31" t="s">
        <v>147</v>
      </c>
      <c r="AR39" s="31" t="s">
        <v>150</v>
      </c>
      <c r="AS39" s="31" t="s">
        <v>151</v>
      </c>
      <c r="AT39" s="31" t="s">
        <v>151</v>
      </c>
      <c r="AU39" s="31" t="s">
        <v>151</v>
      </c>
      <c r="AV39" s="31" t="s">
        <v>150</v>
      </c>
      <c r="AW39" s="31" t="s">
        <v>151</v>
      </c>
      <c r="AX39" s="31" t="s">
        <v>151</v>
      </c>
      <c r="AY39" s="31" t="s">
        <v>147</v>
      </c>
    </row>
    <row r="40" spans="1:51" ht="15" customHeight="1" x14ac:dyDescent="0.25">
      <c r="A40" s="31" t="s">
        <v>373</v>
      </c>
      <c r="B40" s="31" t="s">
        <v>374</v>
      </c>
      <c r="C40" s="32">
        <v>37</v>
      </c>
      <c r="D40" s="31" t="s">
        <v>132</v>
      </c>
      <c r="E40" s="31" t="s">
        <v>245</v>
      </c>
      <c r="F40" s="33" t="s">
        <v>375</v>
      </c>
      <c r="G40" s="31" t="s">
        <v>136</v>
      </c>
      <c r="H40" s="31" t="s">
        <v>194</v>
      </c>
      <c r="I40" s="31" t="s">
        <v>135</v>
      </c>
      <c r="J40" s="31" t="s">
        <v>194</v>
      </c>
      <c r="K40" s="31" t="s">
        <v>174</v>
      </c>
      <c r="L40" s="31" t="s">
        <v>193</v>
      </c>
      <c r="M40" s="34">
        <v>15.9</v>
      </c>
      <c r="N40" s="34">
        <v>17.7</v>
      </c>
      <c r="O40" s="35">
        <v>-2.29</v>
      </c>
      <c r="P40" s="35">
        <v>-1.08</v>
      </c>
      <c r="Q40" s="32">
        <v>30</v>
      </c>
      <c r="R40" s="35">
        <v>-2.1</v>
      </c>
      <c r="S40" s="35">
        <v>-1.1299999999999999</v>
      </c>
      <c r="T40" s="32">
        <v>36</v>
      </c>
      <c r="U40" s="31" t="s">
        <v>376</v>
      </c>
      <c r="V40" s="31" t="s">
        <v>139</v>
      </c>
      <c r="W40" s="31" t="s">
        <v>140</v>
      </c>
      <c r="X40" s="31" t="s">
        <v>161</v>
      </c>
      <c r="Y40" s="31" t="s">
        <v>219</v>
      </c>
      <c r="Z40" s="31" t="s">
        <v>143</v>
      </c>
      <c r="AA40" s="31"/>
      <c r="AB40" s="31" t="s">
        <v>311</v>
      </c>
      <c r="AC40" s="31" t="s">
        <v>145</v>
      </c>
      <c r="AD40" s="31" t="s">
        <v>147</v>
      </c>
      <c r="AE40" s="31" t="s">
        <v>221</v>
      </c>
      <c r="AF40" s="31" t="s">
        <v>148</v>
      </c>
      <c r="AG40" s="31" t="s">
        <v>168</v>
      </c>
      <c r="AH40" s="31" t="s">
        <v>149</v>
      </c>
      <c r="AI40" s="31" t="s">
        <v>149</v>
      </c>
      <c r="AJ40" s="31" t="s">
        <v>147</v>
      </c>
      <c r="AK40" s="31" t="s">
        <v>151</v>
      </c>
      <c r="AL40" s="31" t="s">
        <v>150</v>
      </c>
      <c r="AM40" s="31" t="s">
        <v>151</v>
      </c>
      <c r="AN40" s="31" t="s">
        <v>151</v>
      </c>
      <c r="AO40" s="31" t="s">
        <v>150</v>
      </c>
      <c r="AP40" s="31" t="s">
        <v>150</v>
      </c>
      <c r="AQ40" s="31" t="s">
        <v>151</v>
      </c>
      <c r="AR40" s="31" t="s">
        <v>150</v>
      </c>
      <c r="AS40" s="31" t="s">
        <v>151</v>
      </c>
      <c r="AT40" s="31" t="s">
        <v>151</v>
      </c>
      <c r="AU40" s="31" t="s">
        <v>151</v>
      </c>
      <c r="AV40" s="31" t="s">
        <v>151</v>
      </c>
      <c r="AW40" s="31" t="s">
        <v>151</v>
      </c>
      <c r="AX40" s="31" t="s">
        <v>151</v>
      </c>
      <c r="AY40" s="31" t="s">
        <v>150</v>
      </c>
    </row>
    <row r="41" spans="1:51" ht="15" customHeight="1" x14ac:dyDescent="0.25">
      <c r="A41" s="31" t="s">
        <v>377</v>
      </c>
      <c r="B41" s="31" t="s">
        <v>378</v>
      </c>
      <c r="C41" s="32">
        <v>52</v>
      </c>
      <c r="D41" s="31" t="s">
        <v>251</v>
      </c>
      <c r="E41" s="31" t="s">
        <v>379</v>
      </c>
      <c r="F41" s="33" t="s">
        <v>380</v>
      </c>
      <c r="G41" s="31" t="s">
        <v>175</v>
      </c>
      <c r="H41" s="31" t="s">
        <v>135</v>
      </c>
      <c r="I41" s="31" t="s">
        <v>135</v>
      </c>
      <c r="J41" s="31" t="s">
        <v>194</v>
      </c>
      <c r="K41" s="31" t="s">
        <v>135</v>
      </c>
      <c r="L41" s="31" t="s">
        <v>136</v>
      </c>
      <c r="M41" s="34">
        <v>18.100000000000001</v>
      </c>
      <c r="N41" s="34">
        <v>19.899999999999999</v>
      </c>
      <c r="O41" s="35">
        <v>-0.7</v>
      </c>
      <c r="P41" s="35">
        <v>-1.18</v>
      </c>
      <c r="Q41" s="32">
        <v>105</v>
      </c>
      <c r="R41" s="35">
        <v>-0.46</v>
      </c>
      <c r="S41" s="35">
        <v>-1.1000000000000001</v>
      </c>
      <c r="T41" s="32">
        <v>104</v>
      </c>
      <c r="U41" s="31" t="s">
        <v>381</v>
      </c>
      <c r="V41" s="31" t="s">
        <v>259</v>
      </c>
      <c r="W41" s="31" t="s">
        <v>161</v>
      </c>
      <c r="X41" s="31" t="s">
        <v>141</v>
      </c>
      <c r="Y41" s="31" t="s">
        <v>196</v>
      </c>
      <c r="Z41" s="31" t="s">
        <v>178</v>
      </c>
      <c r="AA41" s="31"/>
      <c r="AB41" s="31" t="s">
        <v>295</v>
      </c>
      <c r="AC41" s="31" t="s">
        <v>235</v>
      </c>
      <c r="AD41" s="31" t="s">
        <v>147</v>
      </c>
      <c r="AE41" s="31" t="s">
        <v>146</v>
      </c>
      <c r="AF41" s="31" t="s">
        <v>167</v>
      </c>
      <c r="AG41" s="31" t="s">
        <v>168</v>
      </c>
      <c r="AH41" s="31" t="s">
        <v>149</v>
      </c>
      <c r="AI41" s="31" t="s">
        <v>149</v>
      </c>
      <c r="AJ41" s="31" t="s">
        <v>151</v>
      </c>
      <c r="AK41" s="31" t="s">
        <v>151</v>
      </c>
      <c r="AL41" s="31" t="s">
        <v>150</v>
      </c>
      <c r="AM41" s="31" t="s">
        <v>151</v>
      </c>
      <c r="AN41" s="31" t="s">
        <v>151</v>
      </c>
      <c r="AO41" s="31" t="s">
        <v>150</v>
      </c>
      <c r="AP41" s="31" t="s">
        <v>150</v>
      </c>
      <c r="AQ41" s="31" t="s">
        <v>151</v>
      </c>
      <c r="AR41" s="31" t="s">
        <v>150</v>
      </c>
      <c r="AS41" s="31" t="s">
        <v>151</v>
      </c>
      <c r="AT41" s="31" t="s">
        <v>151</v>
      </c>
      <c r="AU41" s="31" t="s">
        <v>151</v>
      </c>
      <c r="AV41" s="31" t="s">
        <v>151</v>
      </c>
      <c r="AW41" s="31" t="s">
        <v>151</v>
      </c>
      <c r="AX41" s="31" t="s">
        <v>150</v>
      </c>
      <c r="AY41" s="31" t="s">
        <v>147</v>
      </c>
    </row>
    <row r="42" spans="1:51" ht="15" customHeight="1" x14ac:dyDescent="0.25">
      <c r="A42" s="31" t="s">
        <v>382</v>
      </c>
      <c r="B42" s="31" t="s">
        <v>383</v>
      </c>
      <c r="C42" s="32">
        <v>39</v>
      </c>
      <c r="D42" s="31" t="s">
        <v>132</v>
      </c>
      <c r="E42" s="31" t="s">
        <v>384</v>
      </c>
      <c r="F42" s="33" t="s">
        <v>385</v>
      </c>
      <c r="G42" s="31" t="s">
        <v>194</v>
      </c>
      <c r="H42" s="31" t="s">
        <v>135</v>
      </c>
      <c r="I42" s="31" t="s">
        <v>194</v>
      </c>
      <c r="J42" s="31" t="s">
        <v>135</v>
      </c>
      <c r="K42" s="31" t="s">
        <v>135</v>
      </c>
      <c r="L42" s="31" t="s">
        <v>175</v>
      </c>
      <c r="M42" s="34">
        <v>17.399999999999999</v>
      </c>
      <c r="N42" s="34">
        <v>16.3</v>
      </c>
      <c r="O42" s="35">
        <v>4.6900000000000004</v>
      </c>
      <c r="P42" s="35">
        <v>-1.99</v>
      </c>
      <c r="Q42" s="32">
        <v>45</v>
      </c>
      <c r="R42" s="35">
        <v>4.34</v>
      </c>
      <c r="S42" s="35">
        <v>-1.7</v>
      </c>
      <c r="T42" s="32">
        <v>49</v>
      </c>
      <c r="U42" s="31" t="s">
        <v>386</v>
      </c>
      <c r="V42" s="31" t="s">
        <v>259</v>
      </c>
      <c r="W42" s="31" t="s">
        <v>161</v>
      </c>
      <c r="X42" s="31" t="s">
        <v>233</v>
      </c>
      <c r="Y42" s="31" t="s">
        <v>162</v>
      </c>
      <c r="Z42" s="31" t="s">
        <v>143</v>
      </c>
      <c r="AA42" s="31" t="s">
        <v>248</v>
      </c>
      <c r="AB42" s="31" t="s">
        <v>311</v>
      </c>
      <c r="AC42" s="31" t="s">
        <v>145</v>
      </c>
      <c r="AD42" s="31" t="s">
        <v>221</v>
      </c>
      <c r="AE42" s="31" t="s">
        <v>146</v>
      </c>
      <c r="AF42" s="31" t="s">
        <v>148</v>
      </c>
      <c r="AG42" s="31" t="s">
        <v>148</v>
      </c>
      <c r="AH42" s="31" t="s">
        <v>149</v>
      </c>
      <c r="AI42" s="31" t="s">
        <v>149</v>
      </c>
      <c r="AJ42" s="31" t="s">
        <v>150</v>
      </c>
      <c r="AK42" s="31" t="s">
        <v>150</v>
      </c>
      <c r="AL42" s="31" t="s">
        <v>150</v>
      </c>
      <c r="AM42" s="31" t="s">
        <v>150</v>
      </c>
      <c r="AN42" s="31" t="s">
        <v>151</v>
      </c>
      <c r="AO42" s="31" t="s">
        <v>150</v>
      </c>
      <c r="AP42" s="31" t="s">
        <v>150</v>
      </c>
      <c r="AQ42" s="31" t="s">
        <v>151</v>
      </c>
      <c r="AR42" s="31" t="s">
        <v>150</v>
      </c>
      <c r="AS42" s="31" t="s">
        <v>151</v>
      </c>
      <c r="AT42" s="31" t="s">
        <v>151</v>
      </c>
      <c r="AU42" s="31" t="s">
        <v>151</v>
      </c>
      <c r="AV42" s="31" t="s">
        <v>151</v>
      </c>
      <c r="AW42" s="31" t="s">
        <v>151</v>
      </c>
      <c r="AX42" s="31" t="s">
        <v>151</v>
      </c>
      <c r="AY42" s="31" t="s">
        <v>150</v>
      </c>
    </row>
    <row r="43" spans="1:51" ht="15" customHeight="1" x14ac:dyDescent="0.25">
      <c r="A43" s="31" t="s">
        <v>387</v>
      </c>
      <c r="B43" s="31" t="s">
        <v>388</v>
      </c>
      <c r="C43" s="32">
        <v>49</v>
      </c>
      <c r="D43" s="31" t="s">
        <v>132</v>
      </c>
      <c r="E43" s="31" t="s">
        <v>183</v>
      </c>
      <c r="F43" s="33" t="s">
        <v>389</v>
      </c>
      <c r="G43" s="31" t="s">
        <v>137</v>
      </c>
      <c r="H43" s="31" t="s">
        <v>194</v>
      </c>
      <c r="I43" s="31" t="s">
        <v>136</v>
      </c>
      <c r="J43" s="31" t="s">
        <v>137</v>
      </c>
      <c r="K43" s="31" t="s">
        <v>137</v>
      </c>
      <c r="L43" s="31" t="s">
        <v>136</v>
      </c>
      <c r="M43" s="34">
        <v>17.5</v>
      </c>
      <c r="N43" s="34">
        <v>17.5</v>
      </c>
      <c r="O43" s="35">
        <v>-3.08</v>
      </c>
      <c r="P43" s="35">
        <v>-1.51</v>
      </c>
      <c r="Q43" s="32">
        <v>150</v>
      </c>
      <c r="R43" s="35">
        <v>-3.05</v>
      </c>
      <c r="S43" s="35">
        <v>-1.27</v>
      </c>
      <c r="T43" s="32">
        <v>149</v>
      </c>
      <c r="U43" s="31" t="s">
        <v>390</v>
      </c>
      <c r="V43" s="31" t="s">
        <v>139</v>
      </c>
      <c r="W43" s="31" t="s">
        <v>140</v>
      </c>
      <c r="X43" s="31" t="s">
        <v>161</v>
      </c>
      <c r="Y43" s="31" t="s">
        <v>162</v>
      </c>
      <c r="Z43" s="31" t="s">
        <v>212</v>
      </c>
      <c r="AA43" s="31" t="s">
        <v>242</v>
      </c>
      <c r="AB43" s="31" t="s">
        <v>179</v>
      </c>
      <c r="AC43" s="31" t="s">
        <v>267</v>
      </c>
      <c r="AD43" s="31" t="s">
        <v>221</v>
      </c>
      <c r="AE43" s="31" t="s">
        <v>221</v>
      </c>
      <c r="AF43" s="31" t="s">
        <v>148</v>
      </c>
      <c r="AG43" s="31" t="s">
        <v>168</v>
      </c>
      <c r="AH43" s="31" t="s">
        <v>149</v>
      </c>
      <c r="AI43" s="31" t="s">
        <v>149</v>
      </c>
      <c r="AJ43" s="31" t="s">
        <v>150</v>
      </c>
      <c r="AK43" s="31" t="s">
        <v>151</v>
      </c>
      <c r="AL43" s="31" t="s">
        <v>147</v>
      </c>
      <c r="AM43" s="31" t="s">
        <v>150</v>
      </c>
      <c r="AN43" s="31" t="s">
        <v>151</v>
      </c>
      <c r="AO43" s="31" t="s">
        <v>150</v>
      </c>
      <c r="AP43" s="31" t="s">
        <v>147</v>
      </c>
      <c r="AQ43" s="31" t="s">
        <v>151</v>
      </c>
      <c r="AR43" s="31" t="s">
        <v>150</v>
      </c>
      <c r="AS43" s="31" t="s">
        <v>151</v>
      </c>
      <c r="AT43" s="31" t="s">
        <v>151</v>
      </c>
      <c r="AU43" s="31" t="s">
        <v>151</v>
      </c>
      <c r="AV43" s="31" t="s">
        <v>151</v>
      </c>
      <c r="AW43" s="31" t="s">
        <v>151</v>
      </c>
      <c r="AX43" s="31" t="s">
        <v>151</v>
      </c>
      <c r="AY43" s="31" t="s">
        <v>151</v>
      </c>
    </row>
    <row r="44" spans="1:51" ht="15" customHeight="1" x14ac:dyDescent="0.25">
      <c r="A44" s="31" t="s">
        <v>391</v>
      </c>
      <c r="B44" s="31" t="s">
        <v>392</v>
      </c>
      <c r="C44" s="32">
        <v>23</v>
      </c>
      <c r="D44" s="31" t="s">
        <v>251</v>
      </c>
      <c r="E44" s="31" t="s">
        <v>229</v>
      </c>
      <c r="F44" s="33" t="s">
        <v>393</v>
      </c>
      <c r="G44" s="31" t="s">
        <v>158</v>
      </c>
      <c r="H44" s="31" t="s">
        <v>136</v>
      </c>
      <c r="I44" s="31" t="s">
        <v>157</v>
      </c>
      <c r="J44" s="31" t="s">
        <v>156</v>
      </c>
      <c r="K44" s="31" t="s">
        <v>135</v>
      </c>
      <c r="L44" s="31" t="s">
        <v>194</v>
      </c>
      <c r="M44" s="34">
        <v>14.5</v>
      </c>
      <c r="N44" s="34">
        <v>15.1</v>
      </c>
      <c r="O44" s="35">
        <v>-2.2200000000000002</v>
      </c>
      <c r="P44" s="35">
        <v>-0.68</v>
      </c>
      <c r="Q44" s="32">
        <v>0</v>
      </c>
      <c r="R44" s="35">
        <v>-2.5099999999999998</v>
      </c>
      <c r="S44" s="35">
        <v>-0.62</v>
      </c>
      <c r="T44" s="32">
        <v>0</v>
      </c>
      <c r="U44" s="31" t="s">
        <v>394</v>
      </c>
      <c r="V44" s="31" t="s">
        <v>186</v>
      </c>
      <c r="W44" s="31" t="s">
        <v>140</v>
      </c>
      <c r="X44" s="31" t="s">
        <v>161</v>
      </c>
      <c r="Y44" s="31" t="s">
        <v>142</v>
      </c>
      <c r="Z44" s="31" t="s">
        <v>143</v>
      </c>
      <c r="AA44" s="31"/>
      <c r="AB44" s="31" t="s">
        <v>277</v>
      </c>
      <c r="AC44" s="31" t="s">
        <v>226</v>
      </c>
      <c r="AD44" s="31" t="s">
        <v>221</v>
      </c>
      <c r="AE44" s="31" t="s">
        <v>147</v>
      </c>
      <c r="AF44" s="31" t="s">
        <v>148</v>
      </c>
      <c r="AG44" s="31" t="s">
        <v>167</v>
      </c>
      <c r="AH44" s="31" t="s">
        <v>149</v>
      </c>
      <c r="AI44" s="31" t="s">
        <v>149</v>
      </c>
      <c r="AJ44" s="31" t="s">
        <v>151</v>
      </c>
      <c r="AK44" s="31" t="s">
        <v>151</v>
      </c>
      <c r="AL44" s="31" t="s">
        <v>150</v>
      </c>
      <c r="AM44" s="31" t="s">
        <v>151</v>
      </c>
      <c r="AN44" s="31" t="s">
        <v>151</v>
      </c>
      <c r="AO44" s="31" t="s">
        <v>151</v>
      </c>
      <c r="AP44" s="31" t="s">
        <v>150</v>
      </c>
      <c r="AQ44" s="31" t="s">
        <v>151</v>
      </c>
      <c r="AR44" s="31" t="s">
        <v>150</v>
      </c>
      <c r="AS44" s="31" t="s">
        <v>151</v>
      </c>
      <c r="AT44" s="31" t="s">
        <v>151</v>
      </c>
      <c r="AU44" s="31" t="s">
        <v>151</v>
      </c>
      <c r="AV44" s="31" t="s">
        <v>151</v>
      </c>
      <c r="AW44" s="31" t="s">
        <v>150</v>
      </c>
      <c r="AX44" s="31" t="s">
        <v>151</v>
      </c>
      <c r="AY44" s="31" t="s">
        <v>151</v>
      </c>
    </row>
    <row r="45" spans="1:51" ht="15" customHeight="1" x14ac:dyDescent="0.25">
      <c r="A45" s="31" t="s">
        <v>395</v>
      </c>
      <c r="B45" s="31" t="s">
        <v>396</v>
      </c>
      <c r="C45" s="32">
        <v>29</v>
      </c>
      <c r="D45" s="31" t="s">
        <v>251</v>
      </c>
      <c r="E45" s="31" t="s">
        <v>183</v>
      </c>
      <c r="F45" s="33" t="s">
        <v>397</v>
      </c>
      <c r="G45" s="31" t="s">
        <v>136</v>
      </c>
      <c r="H45" s="31" t="s">
        <v>137</v>
      </c>
      <c r="I45" s="31" t="s">
        <v>136</v>
      </c>
      <c r="J45" s="31" t="s">
        <v>156</v>
      </c>
      <c r="K45" s="31" t="s">
        <v>264</v>
      </c>
      <c r="L45" s="31" t="s">
        <v>137</v>
      </c>
      <c r="M45" s="34">
        <v>16.2</v>
      </c>
      <c r="N45" s="34">
        <v>14.2</v>
      </c>
      <c r="O45" s="35">
        <v>-4.41</v>
      </c>
      <c r="P45" s="35">
        <v>-1.0900000000000001</v>
      </c>
      <c r="Q45" s="32">
        <v>90</v>
      </c>
      <c r="R45" s="35">
        <v>-4.66</v>
      </c>
      <c r="S45" s="35">
        <v>-1.01</v>
      </c>
      <c r="T45" s="32">
        <v>98</v>
      </c>
      <c r="U45" s="31" t="s">
        <v>398</v>
      </c>
      <c r="V45" s="31" t="s">
        <v>177</v>
      </c>
      <c r="W45" s="31" t="s">
        <v>187</v>
      </c>
      <c r="X45" s="31" t="s">
        <v>161</v>
      </c>
      <c r="Y45" s="31" t="s">
        <v>162</v>
      </c>
      <c r="Z45" s="31" t="s">
        <v>143</v>
      </c>
      <c r="AA45" s="31"/>
      <c r="AB45" s="31" t="s">
        <v>234</v>
      </c>
      <c r="AC45" s="31" t="s">
        <v>206</v>
      </c>
      <c r="AD45" s="31" t="s">
        <v>146</v>
      </c>
      <c r="AE45" s="31" t="s">
        <v>146</v>
      </c>
      <c r="AF45" s="31" t="s">
        <v>148</v>
      </c>
      <c r="AG45" s="31" t="s">
        <v>168</v>
      </c>
      <c r="AH45" s="31" t="s">
        <v>149</v>
      </c>
      <c r="AI45" s="31" t="s">
        <v>169</v>
      </c>
      <c r="AJ45" s="31" t="s">
        <v>151</v>
      </c>
      <c r="AK45" s="31" t="s">
        <v>151</v>
      </c>
      <c r="AL45" s="31" t="s">
        <v>150</v>
      </c>
      <c r="AM45" s="31" t="s">
        <v>151</v>
      </c>
      <c r="AN45" s="31" t="s">
        <v>147</v>
      </c>
      <c r="AO45" s="31" t="s">
        <v>150</v>
      </c>
      <c r="AP45" s="31" t="s">
        <v>150</v>
      </c>
      <c r="AQ45" s="31" t="s">
        <v>151</v>
      </c>
      <c r="AR45" s="31" t="s">
        <v>150</v>
      </c>
      <c r="AS45" s="31" t="s">
        <v>151</v>
      </c>
      <c r="AT45" s="31" t="s">
        <v>151</v>
      </c>
      <c r="AU45" s="31" t="s">
        <v>151</v>
      </c>
      <c r="AV45" s="31" t="s">
        <v>151</v>
      </c>
      <c r="AW45" s="31" t="s">
        <v>151</v>
      </c>
      <c r="AX45" s="31" t="s">
        <v>151</v>
      </c>
      <c r="AY45" s="31" t="s">
        <v>150</v>
      </c>
    </row>
    <row r="46" spans="1:51" ht="15" customHeight="1" x14ac:dyDescent="0.25">
      <c r="A46" s="31" t="s">
        <v>399</v>
      </c>
      <c r="B46" s="31" t="s">
        <v>400</v>
      </c>
      <c r="C46" s="32">
        <v>53</v>
      </c>
      <c r="D46" s="31" t="s">
        <v>251</v>
      </c>
      <c r="E46" s="31" t="s">
        <v>245</v>
      </c>
      <c r="F46" s="33" t="s">
        <v>401</v>
      </c>
      <c r="G46" s="31" t="s">
        <v>156</v>
      </c>
      <c r="H46" s="31" t="s">
        <v>135</v>
      </c>
      <c r="I46" s="31" t="s">
        <v>194</v>
      </c>
      <c r="J46" s="31" t="s">
        <v>136</v>
      </c>
      <c r="K46" s="31" t="s">
        <v>135</v>
      </c>
      <c r="L46" s="31" t="s">
        <v>194</v>
      </c>
      <c r="M46" s="34">
        <v>15</v>
      </c>
      <c r="N46" s="34">
        <v>15</v>
      </c>
      <c r="O46" s="35">
        <v>-3.36</v>
      </c>
      <c r="P46" s="35">
        <v>-1.1599999999999999</v>
      </c>
      <c r="Q46" s="32">
        <v>170</v>
      </c>
      <c r="R46" s="35">
        <v>-3.37</v>
      </c>
      <c r="S46" s="35">
        <v>-1.08</v>
      </c>
      <c r="T46" s="32">
        <v>165</v>
      </c>
      <c r="U46" s="31" t="s">
        <v>402</v>
      </c>
      <c r="V46" s="31" t="s">
        <v>232</v>
      </c>
      <c r="W46" s="31" t="s">
        <v>187</v>
      </c>
      <c r="X46" s="31" t="s">
        <v>161</v>
      </c>
      <c r="Y46" s="31" t="s">
        <v>142</v>
      </c>
      <c r="Z46" s="31" t="s">
        <v>143</v>
      </c>
      <c r="AA46" s="31"/>
      <c r="AB46" s="31" t="s">
        <v>234</v>
      </c>
      <c r="AC46" s="31" t="s">
        <v>296</v>
      </c>
      <c r="AD46" s="31" t="s">
        <v>221</v>
      </c>
      <c r="AE46" s="31" t="s">
        <v>146</v>
      </c>
      <c r="AF46" s="31" t="s">
        <v>168</v>
      </c>
      <c r="AG46" s="31" t="s">
        <v>148</v>
      </c>
      <c r="AH46" s="31" t="s">
        <v>149</v>
      </c>
      <c r="AI46" s="31" t="s">
        <v>149</v>
      </c>
      <c r="AJ46" s="31" t="s">
        <v>150</v>
      </c>
      <c r="AK46" s="31" t="s">
        <v>151</v>
      </c>
      <c r="AL46" s="31" t="s">
        <v>150</v>
      </c>
      <c r="AM46" s="31" t="s">
        <v>150</v>
      </c>
      <c r="AN46" s="31" t="s">
        <v>151</v>
      </c>
      <c r="AO46" s="31" t="s">
        <v>150</v>
      </c>
      <c r="AP46" s="31" t="s">
        <v>150</v>
      </c>
      <c r="AQ46" s="31" t="s">
        <v>151</v>
      </c>
      <c r="AR46" s="31" t="s">
        <v>150</v>
      </c>
      <c r="AS46" s="31" t="s">
        <v>151</v>
      </c>
      <c r="AT46" s="31" t="s">
        <v>151</v>
      </c>
      <c r="AU46" s="31" t="s">
        <v>151</v>
      </c>
      <c r="AV46" s="31" t="s">
        <v>151</v>
      </c>
      <c r="AW46" s="31" t="s">
        <v>151</v>
      </c>
      <c r="AX46" s="31" t="s">
        <v>151</v>
      </c>
      <c r="AY46" s="31" t="s">
        <v>147</v>
      </c>
    </row>
    <row r="47" spans="1:51" ht="15" customHeight="1" x14ac:dyDescent="0.25">
      <c r="A47" s="31" t="s">
        <v>403</v>
      </c>
      <c r="B47" s="31" t="s">
        <v>404</v>
      </c>
      <c r="C47" s="32">
        <v>47</v>
      </c>
      <c r="D47" s="31" t="s">
        <v>147</v>
      </c>
      <c r="E47" s="31" t="s">
        <v>191</v>
      </c>
      <c r="F47" s="33" t="s">
        <v>405</v>
      </c>
      <c r="G47" s="31" t="s">
        <v>175</v>
      </c>
      <c r="H47" s="31" t="s">
        <v>137</v>
      </c>
      <c r="I47" s="31" t="s">
        <v>137</v>
      </c>
      <c r="J47" s="31" t="s">
        <v>194</v>
      </c>
      <c r="K47" s="31" t="s">
        <v>137</v>
      </c>
      <c r="L47" s="31" t="s">
        <v>194</v>
      </c>
      <c r="M47" s="34">
        <v>20.399999999999999</v>
      </c>
      <c r="N47" s="34">
        <v>20.2</v>
      </c>
      <c r="O47" s="35">
        <v>0.28999999999999998</v>
      </c>
      <c r="P47" s="35">
        <v>-1.26</v>
      </c>
      <c r="Q47" s="32">
        <v>60</v>
      </c>
      <c r="R47" s="35">
        <v>0.53</v>
      </c>
      <c r="S47" s="35">
        <v>-1.2</v>
      </c>
      <c r="T47" s="32">
        <v>60</v>
      </c>
      <c r="U47" s="31" t="s">
        <v>406</v>
      </c>
      <c r="V47" s="31" t="s">
        <v>259</v>
      </c>
      <c r="W47" s="31" t="s">
        <v>140</v>
      </c>
      <c r="X47" s="31" t="s">
        <v>161</v>
      </c>
      <c r="Y47" s="31" t="s">
        <v>142</v>
      </c>
      <c r="Z47" s="31" t="s">
        <v>178</v>
      </c>
      <c r="AA47" s="31"/>
      <c r="AB47" s="31" t="s">
        <v>234</v>
      </c>
      <c r="AC47" s="31" t="s">
        <v>267</v>
      </c>
      <c r="AD47" s="31" t="s">
        <v>146</v>
      </c>
      <c r="AE47" s="31" t="s">
        <v>221</v>
      </c>
      <c r="AF47" s="31" t="s">
        <v>168</v>
      </c>
      <c r="AG47" s="31" t="s">
        <v>148</v>
      </c>
      <c r="AH47" s="31" t="s">
        <v>149</v>
      </c>
      <c r="AI47" s="31" t="s">
        <v>149</v>
      </c>
      <c r="AJ47" s="31" t="s">
        <v>147</v>
      </c>
      <c r="AK47" s="31" t="s">
        <v>151</v>
      </c>
      <c r="AL47" s="31" t="s">
        <v>151</v>
      </c>
      <c r="AM47" s="31" t="s">
        <v>151</v>
      </c>
      <c r="AN47" s="31" t="s">
        <v>151</v>
      </c>
      <c r="AO47" s="31" t="s">
        <v>150</v>
      </c>
      <c r="AP47" s="31" t="s">
        <v>150</v>
      </c>
      <c r="AQ47" s="31" t="s">
        <v>151</v>
      </c>
      <c r="AR47" s="31" t="s">
        <v>150</v>
      </c>
      <c r="AS47" s="31" t="s">
        <v>151</v>
      </c>
      <c r="AT47" s="31" t="s">
        <v>151</v>
      </c>
      <c r="AU47" s="31" t="s">
        <v>151</v>
      </c>
      <c r="AV47" s="31" t="s">
        <v>151</v>
      </c>
      <c r="AW47" s="31" t="s">
        <v>147</v>
      </c>
      <c r="AX47" s="31" t="s">
        <v>150</v>
      </c>
      <c r="AY47" s="31" t="s">
        <v>151</v>
      </c>
    </row>
    <row r="48" spans="1:51" ht="15" customHeight="1" x14ac:dyDescent="0.25">
      <c r="A48" s="31" t="s">
        <v>407</v>
      </c>
      <c r="B48" s="31" t="s">
        <v>408</v>
      </c>
      <c r="C48" s="32">
        <v>39</v>
      </c>
      <c r="D48" s="31" t="s">
        <v>132</v>
      </c>
      <c r="E48" s="31" t="s">
        <v>379</v>
      </c>
      <c r="F48" s="33" t="s">
        <v>409</v>
      </c>
      <c r="G48" s="31" t="s">
        <v>309</v>
      </c>
      <c r="H48" s="31" t="s">
        <v>137</v>
      </c>
      <c r="I48" s="31" t="s">
        <v>156</v>
      </c>
      <c r="J48" s="31" t="s">
        <v>135</v>
      </c>
      <c r="K48" s="31" t="s">
        <v>135</v>
      </c>
      <c r="L48" s="31" t="s">
        <v>137</v>
      </c>
      <c r="M48" s="34">
        <v>13</v>
      </c>
      <c r="N48" s="34">
        <v>13</v>
      </c>
      <c r="O48" s="35">
        <v>0.54</v>
      </c>
      <c r="P48" s="35">
        <v>-0.04</v>
      </c>
      <c r="Q48" s="32">
        <v>135</v>
      </c>
      <c r="R48" s="35">
        <v>1.05</v>
      </c>
      <c r="S48" s="35">
        <v>0</v>
      </c>
      <c r="T48" s="32">
        <v>130</v>
      </c>
      <c r="U48" s="31" t="s">
        <v>410</v>
      </c>
      <c r="V48" s="31" t="s">
        <v>139</v>
      </c>
      <c r="W48" s="31" t="s">
        <v>140</v>
      </c>
      <c r="X48" s="31" t="s">
        <v>161</v>
      </c>
      <c r="Y48" s="31" t="s">
        <v>162</v>
      </c>
      <c r="Z48" s="31" t="s">
        <v>178</v>
      </c>
      <c r="AA48" s="31"/>
      <c r="AB48" s="31" t="s">
        <v>234</v>
      </c>
      <c r="AC48" s="31" t="s">
        <v>368</v>
      </c>
      <c r="AD48" s="31" t="s">
        <v>147</v>
      </c>
      <c r="AE48" s="31" t="s">
        <v>146</v>
      </c>
      <c r="AF48" s="31" t="s">
        <v>168</v>
      </c>
      <c r="AG48" s="31" t="s">
        <v>168</v>
      </c>
      <c r="AH48" s="31" t="s">
        <v>169</v>
      </c>
      <c r="AI48" s="31" t="s">
        <v>149</v>
      </c>
      <c r="AJ48" s="31" t="s">
        <v>150</v>
      </c>
      <c r="AK48" s="31" t="s">
        <v>150</v>
      </c>
      <c r="AL48" s="31" t="s">
        <v>151</v>
      </c>
      <c r="AM48" s="31" t="s">
        <v>151</v>
      </c>
      <c r="AN48" s="31" t="s">
        <v>151</v>
      </c>
      <c r="AO48" s="31" t="s">
        <v>150</v>
      </c>
      <c r="AP48" s="31" t="s">
        <v>150</v>
      </c>
      <c r="AQ48" s="31" t="s">
        <v>151</v>
      </c>
      <c r="AR48" s="31" t="s">
        <v>150</v>
      </c>
      <c r="AS48" s="31" t="s">
        <v>151</v>
      </c>
      <c r="AT48" s="31" t="s">
        <v>151</v>
      </c>
      <c r="AU48" s="31" t="s">
        <v>151</v>
      </c>
      <c r="AV48" s="31" t="s">
        <v>151</v>
      </c>
      <c r="AW48" s="31" t="s">
        <v>151</v>
      </c>
      <c r="AX48" s="31" t="s">
        <v>150</v>
      </c>
      <c r="AY48" s="31" t="s">
        <v>151</v>
      </c>
    </row>
    <row r="49" spans="1:51" ht="15" customHeight="1" x14ac:dyDescent="0.25">
      <c r="A49" s="31" t="s">
        <v>411</v>
      </c>
      <c r="B49" s="31" t="s">
        <v>412</v>
      </c>
      <c r="C49" s="32">
        <v>53</v>
      </c>
      <c r="D49" s="31" t="s">
        <v>251</v>
      </c>
      <c r="E49" s="31" t="s">
        <v>379</v>
      </c>
      <c r="F49" s="33" t="s">
        <v>413</v>
      </c>
      <c r="G49" s="31" t="s">
        <v>137</v>
      </c>
      <c r="H49" s="31" t="s">
        <v>136</v>
      </c>
      <c r="I49" s="31" t="s">
        <v>137</v>
      </c>
      <c r="J49" s="31" t="s">
        <v>194</v>
      </c>
      <c r="K49" s="31" t="s">
        <v>174</v>
      </c>
      <c r="L49" s="31" t="s">
        <v>137</v>
      </c>
      <c r="M49" s="34">
        <v>16.100000000000001</v>
      </c>
      <c r="N49" s="34">
        <v>19.2</v>
      </c>
      <c r="O49" s="35">
        <v>-2.85</v>
      </c>
      <c r="P49" s="35">
        <v>-1.44</v>
      </c>
      <c r="Q49" s="32">
        <v>160</v>
      </c>
      <c r="R49" s="35">
        <v>-3.14</v>
      </c>
      <c r="S49" s="35">
        <v>-1.97</v>
      </c>
      <c r="T49" s="32">
        <v>156</v>
      </c>
      <c r="U49" s="31" t="s">
        <v>414</v>
      </c>
      <c r="V49" s="31" t="s">
        <v>139</v>
      </c>
      <c r="W49" s="31" t="s">
        <v>140</v>
      </c>
      <c r="X49" s="31" t="s">
        <v>161</v>
      </c>
      <c r="Y49" s="31" t="s">
        <v>147</v>
      </c>
      <c r="Z49" s="31" t="s">
        <v>178</v>
      </c>
      <c r="AA49" s="31"/>
      <c r="AB49" s="31" t="s">
        <v>144</v>
      </c>
      <c r="AC49" s="31" t="s">
        <v>267</v>
      </c>
      <c r="AD49" s="31" t="s">
        <v>221</v>
      </c>
      <c r="AE49" s="31" t="s">
        <v>221</v>
      </c>
      <c r="AF49" s="31" t="s">
        <v>168</v>
      </c>
      <c r="AG49" s="31" t="s">
        <v>168</v>
      </c>
      <c r="AH49" s="31" t="s">
        <v>169</v>
      </c>
      <c r="AI49" s="31" t="s">
        <v>149</v>
      </c>
      <c r="AJ49" s="31" t="s">
        <v>150</v>
      </c>
      <c r="AK49" s="31" t="s">
        <v>151</v>
      </c>
      <c r="AL49" s="31" t="s">
        <v>151</v>
      </c>
      <c r="AM49" s="31" t="s">
        <v>150</v>
      </c>
      <c r="AN49" s="31" t="s">
        <v>151</v>
      </c>
      <c r="AO49" s="31" t="s">
        <v>151</v>
      </c>
      <c r="AP49" s="31" t="s">
        <v>151</v>
      </c>
      <c r="AQ49" s="31" t="s">
        <v>151</v>
      </c>
      <c r="AR49" s="31" t="s">
        <v>151</v>
      </c>
      <c r="AS49" s="31" t="s">
        <v>151</v>
      </c>
      <c r="AT49" s="31" t="s">
        <v>151</v>
      </c>
      <c r="AU49" s="31" t="s">
        <v>150</v>
      </c>
      <c r="AV49" s="31" t="s">
        <v>151</v>
      </c>
      <c r="AW49" s="31" t="s">
        <v>150</v>
      </c>
      <c r="AX49" s="31" t="s">
        <v>151</v>
      </c>
      <c r="AY49" s="31" t="s">
        <v>151</v>
      </c>
    </row>
    <row r="50" spans="1:51" ht="15" customHeight="1" x14ac:dyDescent="0.25">
      <c r="A50" s="31" t="s">
        <v>415</v>
      </c>
      <c r="B50" s="31" t="s">
        <v>416</v>
      </c>
      <c r="C50" s="32">
        <v>24</v>
      </c>
      <c r="D50" s="31" t="s">
        <v>132</v>
      </c>
      <c r="E50" s="31" t="s">
        <v>384</v>
      </c>
      <c r="F50" s="33" t="s">
        <v>417</v>
      </c>
      <c r="G50" s="31" t="s">
        <v>137</v>
      </c>
      <c r="H50" s="31" t="s">
        <v>135</v>
      </c>
      <c r="I50" s="31" t="s">
        <v>156</v>
      </c>
      <c r="J50" s="31" t="s">
        <v>194</v>
      </c>
      <c r="K50" s="31" t="s">
        <v>137</v>
      </c>
      <c r="L50" s="31" t="s">
        <v>194</v>
      </c>
      <c r="M50" s="34">
        <v>16</v>
      </c>
      <c r="N50" s="34">
        <v>16.5</v>
      </c>
      <c r="O50" s="35">
        <v>4.13</v>
      </c>
      <c r="P50" s="35">
        <v>-1.42</v>
      </c>
      <c r="Q50" s="32">
        <v>20</v>
      </c>
      <c r="R50" s="35">
        <v>4.46</v>
      </c>
      <c r="S50" s="35">
        <v>-1.64</v>
      </c>
      <c r="T50" s="32">
        <v>22</v>
      </c>
      <c r="U50" s="31" t="s">
        <v>418</v>
      </c>
      <c r="V50" s="31" t="s">
        <v>232</v>
      </c>
      <c r="W50" s="31" t="s">
        <v>367</v>
      </c>
      <c r="X50" s="31" t="s">
        <v>141</v>
      </c>
      <c r="Y50" s="31" t="s">
        <v>162</v>
      </c>
      <c r="Z50" s="31" t="s">
        <v>178</v>
      </c>
      <c r="AA50" s="31"/>
      <c r="AB50" s="31" t="s">
        <v>205</v>
      </c>
      <c r="AC50" s="31" t="s">
        <v>226</v>
      </c>
      <c r="AD50" s="31" t="s">
        <v>146</v>
      </c>
      <c r="AE50" s="31" t="s">
        <v>146</v>
      </c>
      <c r="AF50" s="31" t="s">
        <v>167</v>
      </c>
      <c r="AG50" s="31" t="s">
        <v>168</v>
      </c>
      <c r="AH50" s="31" t="s">
        <v>149</v>
      </c>
      <c r="AI50" s="31" t="s">
        <v>169</v>
      </c>
      <c r="AJ50" s="31" t="s">
        <v>150</v>
      </c>
      <c r="AK50" s="31" t="s">
        <v>151</v>
      </c>
      <c r="AL50" s="31" t="s">
        <v>151</v>
      </c>
      <c r="AM50" s="31" t="s">
        <v>150</v>
      </c>
      <c r="AN50" s="31" t="s">
        <v>151</v>
      </c>
      <c r="AO50" s="31" t="s">
        <v>150</v>
      </c>
      <c r="AP50" s="31" t="s">
        <v>150</v>
      </c>
      <c r="AQ50" s="31" t="s">
        <v>150</v>
      </c>
      <c r="AR50" s="31" t="s">
        <v>151</v>
      </c>
      <c r="AS50" s="31" t="s">
        <v>151</v>
      </c>
      <c r="AT50" s="31" t="s">
        <v>151</v>
      </c>
      <c r="AU50" s="31" t="s">
        <v>151</v>
      </c>
      <c r="AV50" s="31" t="s">
        <v>151</v>
      </c>
      <c r="AW50" s="31" t="s">
        <v>151</v>
      </c>
      <c r="AX50" s="31" t="s">
        <v>151</v>
      </c>
      <c r="AY50" s="31" t="s">
        <v>150</v>
      </c>
    </row>
    <row r="51" spans="1:51" ht="15" customHeight="1" x14ac:dyDescent="0.25">
      <c r="A51" s="31" t="s">
        <v>419</v>
      </c>
      <c r="B51" s="31" t="s">
        <v>420</v>
      </c>
      <c r="C51" s="32">
        <v>14</v>
      </c>
      <c r="D51" s="31" t="s">
        <v>132</v>
      </c>
      <c r="E51" s="31" t="s">
        <v>229</v>
      </c>
      <c r="F51" s="33" t="s">
        <v>421</v>
      </c>
      <c r="G51" s="31" t="s">
        <v>175</v>
      </c>
      <c r="H51" s="31" t="s">
        <v>136</v>
      </c>
      <c r="I51" s="31" t="s">
        <v>194</v>
      </c>
      <c r="J51" s="31" t="s">
        <v>137</v>
      </c>
      <c r="K51" s="31" t="s">
        <v>194</v>
      </c>
      <c r="L51" s="31" t="s">
        <v>157</v>
      </c>
      <c r="M51" s="34">
        <v>21.4</v>
      </c>
      <c r="N51" s="34">
        <v>23.1</v>
      </c>
      <c r="O51" s="35">
        <v>-1.97</v>
      </c>
      <c r="P51" s="35">
        <v>0</v>
      </c>
      <c r="Q51" s="32">
        <v>0</v>
      </c>
      <c r="R51" s="35">
        <v>-2.57</v>
      </c>
      <c r="S51" s="35">
        <v>-0.03</v>
      </c>
      <c r="T51" s="32">
        <v>7</v>
      </c>
      <c r="U51" s="31" t="s">
        <v>422</v>
      </c>
      <c r="V51" s="31" t="s">
        <v>160</v>
      </c>
      <c r="W51" s="31" t="s">
        <v>140</v>
      </c>
      <c r="X51" s="31" t="s">
        <v>141</v>
      </c>
      <c r="Y51" s="31" t="s">
        <v>372</v>
      </c>
      <c r="Z51" s="31" t="s">
        <v>143</v>
      </c>
      <c r="AA51" s="31" t="s">
        <v>248</v>
      </c>
      <c r="AB51" s="31" t="s">
        <v>165</v>
      </c>
      <c r="AC51" s="31" t="s">
        <v>235</v>
      </c>
      <c r="AD51" s="31" t="s">
        <v>146</v>
      </c>
      <c r="AE51" s="31" t="s">
        <v>146</v>
      </c>
      <c r="AF51" s="31" t="s">
        <v>167</v>
      </c>
      <c r="AG51" s="31" t="s">
        <v>168</v>
      </c>
      <c r="AH51" s="31" t="s">
        <v>149</v>
      </c>
      <c r="AI51" s="31" t="s">
        <v>169</v>
      </c>
      <c r="AJ51" s="31" t="s">
        <v>150</v>
      </c>
      <c r="AK51" s="31" t="s">
        <v>151</v>
      </c>
      <c r="AL51" s="31" t="s">
        <v>150</v>
      </c>
      <c r="AM51" s="31" t="s">
        <v>151</v>
      </c>
      <c r="AN51" s="31" t="s">
        <v>151</v>
      </c>
      <c r="AO51" s="31" t="s">
        <v>151</v>
      </c>
      <c r="AP51" s="31" t="s">
        <v>150</v>
      </c>
      <c r="AQ51" s="31" t="s">
        <v>151</v>
      </c>
      <c r="AR51" s="31" t="s">
        <v>150</v>
      </c>
      <c r="AS51" s="31" t="s">
        <v>151</v>
      </c>
      <c r="AT51" s="31" t="s">
        <v>151</v>
      </c>
      <c r="AU51" s="31" t="s">
        <v>151</v>
      </c>
      <c r="AV51" s="31" t="s">
        <v>151</v>
      </c>
      <c r="AW51" s="31" t="s">
        <v>151</v>
      </c>
      <c r="AX51" s="31" t="s">
        <v>151</v>
      </c>
      <c r="AY51" s="31" t="s">
        <v>151</v>
      </c>
    </row>
    <row r="52" spans="1:51" ht="15" customHeight="1" x14ac:dyDescent="0.25">
      <c r="A52" s="31" t="s">
        <v>423</v>
      </c>
      <c r="B52" s="31" t="s">
        <v>424</v>
      </c>
      <c r="C52" s="32">
        <v>9</v>
      </c>
      <c r="D52" s="31" t="s">
        <v>132</v>
      </c>
      <c r="E52" s="31" t="s">
        <v>252</v>
      </c>
      <c r="F52" s="33" t="s">
        <v>425</v>
      </c>
      <c r="G52" s="31" t="s">
        <v>194</v>
      </c>
      <c r="H52" s="31" t="s">
        <v>194</v>
      </c>
      <c r="I52" s="31" t="s">
        <v>194</v>
      </c>
      <c r="J52" s="31" t="s">
        <v>194</v>
      </c>
      <c r="K52" s="31" t="s">
        <v>136</v>
      </c>
      <c r="L52" s="31" t="s">
        <v>309</v>
      </c>
      <c r="M52" s="34">
        <v>13.6</v>
      </c>
      <c r="N52" s="34">
        <v>13.6</v>
      </c>
      <c r="O52" s="35">
        <v>-0.63</v>
      </c>
      <c r="P52" s="35">
        <v>-0.34</v>
      </c>
      <c r="Q52" s="32">
        <v>150</v>
      </c>
      <c r="R52" s="35">
        <v>-0.79</v>
      </c>
      <c r="S52" s="35">
        <v>-0.61</v>
      </c>
      <c r="T52" s="32">
        <v>149</v>
      </c>
      <c r="U52" s="31" t="s">
        <v>426</v>
      </c>
      <c r="V52" s="31" t="s">
        <v>259</v>
      </c>
      <c r="W52" s="31" t="s">
        <v>367</v>
      </c>
      <c r="X52" s="31" t="s">
        <v>161</v>
      </c>
      <c r="Y52" s="31" t="s">
        <v>196</v>
      </c>
      <c r="Z52" s="31" t="s">
        <v>143</v>
      </c>
      <c r="AA52" s="31"/>
      <c r="AB52" s="31" t="s">
        <v>295</v>
      </c>
      <c r="AC52" s="31" t="s">
        <v>145</v>
      </c>
      <c r="AD52" s="31" t="s">
        <v>146</v>
      </c>
      <c r="AE52" s="31" t="s">
        <v>221</v>
      </c>
      <c r="AF52" s="31" t="s">
        <v>148</v>
      </c>
      <c r="AG52" s="31" t="s">
        <v>148</v>
      </c>
      <c r="AH52" s="31" t="s">
        <v>149</v>
      </c>
      <c r="AI52" s="31" t="s">
        <v>149</v>
      </c>
      <c r="AJ52" s="31" t="s">
        <v>147</v>
      </c>
      <c r="AK52" s="31" t="s">
        <v>150</v>
      </c>
      <c r="AL52" s="31" t="s">
        <v>150</v>
      </c>
      <c r="AM52" s="31" t="s">
        <v>151</v>
      </c>
      <c r="AN52" s="31" t="s">
        <v>151</v>
      </c>
      <c r="AO52" s="31" t="s">
        <v>150</v>
      </c>
      <c r="AP52" s="31" t="s">
        <v>147</v>
      </c>
      <c r="AQ52" s="31" t="s">
        <v>151</v>
      </c>
      <c r="AR52" s="31" t="s">
        <v>151</v>
      </c>
      <c r="AS52" s="31" t="s">
        <v>151</v>
      </c>
      <c r="AT52" s="31" t="s">
        <v>151</v>
      </c>
      <c r="AU52" s="31" t="s">
        <v>151</v>
      </c>
      <c r="AV52" s="31" t="s">
        <v>151</v>
      </c>
      <c r="AW52" s="31" t="s">
        <v>151</v>
      </c>
      <c r="AX52" s="31" t="s">
        <v>151</v>
      </c>
      <c r="AY52" s="31" t="s">
        <v>151</v>
      </c>
    </row>
    <row r="53" spans="1:51" ht="15" customHeight="1" x14ac:dyDescent="0.25">
      <c r="A53" s="31"/>
      <c r="B53" s="31"/>
      <c r="C53" s="32"/>
      <c r="D53" s="31"/>
      <c r="E53" s="31"/>
      <c r="F53" s="33"/>
      <c r="G53" s="31"/>
      <c r="H53" s="31"/>
      <c r="I53" s="31"/>
      <c r="J53" s="31"/>
      <c r="K53" s="31"/>
      <c r="L53" s="31"/>
      <c r="M53" s="34"/>
      <c r="N53" s="34"/>
      <c r="O53" s="35"/>
      <c r="P53" s="35"/>
      <c r="Q53" s="32"/>
      <c r="R53" s="35"/>
      <c r="S53" s="35"/>
      <c r="T53" s="32"/>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row>
    <row r="54" spans="1:51" ht="15" customHeight="1" x14ac:dyDescent="0.25">
      <c r="A54" s="31"/>
      <c r="B54" s="31"/>
      <c r="C54" s="32"/>
      <c r="D54" s="31"/>
      <c r="E54" s="31"/>
      <c r="F54" s="33"/>
      <c r="G54" s="31"/>
      <c r="H54" s="31"/>
      <c r="I54" s="31"/>
      <c r="J54" s="31"/>
      <c r="K54" s="31"/>
      <c r="L54" s="31"/>
      <c r="M54" s="34"/>
      <c r="N54" s="34"/>
      <c r="O54" s="35"/>
      <c r="P54" s="35"/>
      <c r="Q54" s="32"/>
      <c r="R54" s="35"/>
      <c r="S54" s="35"/>
      <c r="T54" s="32"/>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row>
    <row r="55" spans="1:51" ht="15" customHeight="1" x14ac:dyDescent="0.25">
      <c r="A55" s="31"/>
      <c r="B55" s="31"/>
      <c r="C55" s="32"/>
      <c r="D55" s="31"/>
      <c r="E55" s="31"/>
      <c r="F55" s="33"/>
      <c r="G55" s="31"/>
      <c r="H55" s="31"/>
      <c r="I55" s="31"/>
      <c r="J55" s="31"/>
      <c r="K55" s="31"/>
      <c r="L55" s="31"/>
      <c r="M55" s="34"/>
      <c r="N55" s="34"/>
      <c r="O55" s="35"/>
      <c r="P55" s="35"/>
      <c r="Q55" s="32"/>
      <c r="R55" s="35"/>
      <c r="S55" s="35"/>
      <c r="T55" s="32"/>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row>
    <row r="56" spans="1:51" ht="15" customHeight="1" x14ac:dyDescent="0.25">
      <c r="A56" s="31"/>
      <c r="B56" s="31"/>
      <c r="C56" s="32"/>
      <c r="D56" s="31"/>
      <c r="E56" s="31"/>
      <c r="F56" s="33"/>
      <c r="G56" s="31"/>
      <c r="H56" s="31"/>
      <c r="I56" s="31"/>
      <c r="J56" s="31"/>
      <c r="K56" s="31"/>
      <c r="L56" s="31"/>
      <c r="M56" s="34"/>
      <c r="N56" s="34"/>
      <c r="O56" s="35"/>
      <c r="P56" s="35"/>
      <c r="Q56" s="32"/>
      <c r="R56" s="35"/>
      <c r="S56" s="35"/>
      <c r="T56" s="32"/>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row>
    <row r="57" spans="1:51" ht="15" customHeight="1" x14ac:dyDescent="0.25">
      <c r="A57" s="31"/>
      <c r="B57" s="31"/>
      <c r="C57" s="32"/>
      <c r="D57" s="31"/>
      <c r="E57" s="31"/>
      <c r="F57" s="33"/>
      <c r="G57" s="31"/>
      <c r="H57" s="31"/>
      <c r="I57" s="31"/>
      <c r="J57" s="31"/>
      <c r="K57" s="31"/>
      <c r="L57" s="31"/>
      <c r="M57" s="34"/>
      <c r="N57" s="34"/>
      <c r="O57" s="35"/>
      <c r="P57" s="35"/>
      <c r="Q57" s="32"/>
      <c r="R57" s="35"/>
      <c r="S57" s="35"/>
      <c r="T57" s="32"/>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row>
    <row r="58" spans="1:51" ht="15" customHeight="1" x14ac:dyDescent="0.25">
      <c r="A58" s="31"/>
      <c r="B58" s="31"/>
      <c r="C58" s="32"/>
      <c r="D58" s="31"/>
      <c r="E58" s="31"/>
      <c r="F58" s="33"/>
      <c r="G58" s="31"/>
      <c r="H58" s="31"/>
      <c r="I58" s="31"/>
      <c r="J58" s="31"/>
      <c r="K58" s="31"/>
      <c r="L58" s="31"/>
      <c r="M58" s="34"/>
      <c r="N58" s="34"/>
      <c r="O58" s="35"/>
      <c r="P58" s="35"/>
      <c r="Q58" s="32"/>
      <c r="R58" s="35"/>
      <c r="S58" s="35"/>
      <c r="T58" s="32"/>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row>
    <row r="59" spans="1:51" ht="15" customHeight="1" x14ac:dyDescent="0.25">
      <c r="A59" s="31"/>
      <c r="B59" s="31"/>
      <c r="C59" s="32"/>
      <c r="D59" s="31"/>
      <c r="E59" s="31"/>
      <c r="F59" s="33"/>
      <c r="G59" s="31"/>
      <c r="H59" s="31"/>
      <c r="I59" s="31"/>
      <c r="J59" s="31"/>
      <c r="K59" s="31"/>
      <c r="L59" s="31"/>
      <c r="M59" s="34"/>
      <c r="N59" s="34"/>
      <c r="O59" s="35"/>
      <c r="P59" s="35"/>
      <c r="Q59" s="32"/>
      <c r="R59" s="35"/>
      <c r="S59" s="35"/>
      <c r="T59" s="32"/>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row>
    <row r="60" spans="1:51" ht="15" customHeight="1" x14ac:dyDescent="0.25">
      <c r="A60" s="31"/>
      <c r="B60" s="31"/>
      <c r="C60" s="32"/>
      <c r="D60" s="31"/>
      <c r="E60" s="31"/>
      <c r="F60" s="33"/>
      <c r="G60" s="31"/>
      <c r="H60" s="31"/>
      <c r="I60" s="31"/>
      <c r="J60" s="31"/>
      <c r="K60" s="31"/>
      <c r="L60" s="31"/>
      <c r="M60" s="34"/>
      <c r="N60" s="34"/>
      <c r="O60" s="35"/>
      <c r="P60" s="35"/>
      <c r="Q60" s="32"/>
      <c r="R60" s="35"/>
      <c r="S60" s="35"/>
      <c r="T60" s="32"/>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row>
    <row r="61" spans="1:51" ht="15" customHeight="1" x14ac:dyDescent="0.25">
      <c r="A61" s="31"/>
      <c r="B61" s="31"/>
      <c r="C61" s="32"/>
      <c r="D61" s="31"/>
      <c r="E61" s="31"/>
      <c r="F61" s="33"/>
      <c r="G61" s="31"/>
      <c r="H61" s="31"/>
      <c r="I61" s="31"/>
      <c r="J61" s="31"/>
      <c r="K61" s="31"/>
      <c r="L61" s="31"/>
      <c r="M61" s="34"/>
      <c r="N61" s="34"/>
      <c r="O61" s="35"/>
      <c r="P61" s="35"/>
      <c r="Q61" s="32"/>
      <c r="R61" s="35"/>
      <c r="S61" s="35"/>
      <c r="T61" s="32"/>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row>
    <row r="62" spans="1:51" ht="15" customHeight="1" x14ac:dyDescent="0.25">
      <c r="A62" s="31"/>
      <c r="B62" s="31"/>
      <c r="C62" s="32"/>
      <c r="D62" s="31"/>
      <c r="E62" s="31"/>
      <c r="F62" s="33"/>
      <c r="G62" s="31"/>
      <c r="H62" s="31"/>
      <c r="I62" s="31"/>
      <c r="J62" s="31"/>
      <c r="K62" s="31"/>
      <c r="L62" s="31"/>
      <c r="M62" s="34"/>
      <c r="N62" s="34"/>
      <c r="O62" s="35"/>
      <c r="P62" s="35"/>
      <c r="Q62" s="32"/>
      <c r="R62" s="35"/>
      <c r="S62" s="35"/>
      <c r="T62" s="32"/>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row>
    <row r="63" spans="1:51" ht="15" customHeight="1" x14ac:dyDescent="0.25">
      <c r="A63" s="31"/>
      <c r="B63" s="31"/>
      <c r="C63" s="32"/>
      <c r="D63" s="31"/>
      <c r="E63" s="31"/>
      <c r="F63" s="33"/>
      <c r="G63" s="31"/>
      <c r="H63" s="31"/>
      <c r="I63" s="31"/>
      <c r="J63" s="31"/>
      <c r="K63" s="31"/>
      <c r="L63" s="31"/>
      <c r="M63" s="34"/>
      <c r="N63" s="34"/>
      <c r="O63" s="35"/>
      <c r="P63" s="35"/>
      <c r="Q63" s="32"/>
      <c r="R63" s="35"/>
      <c r="S63" s="35"/>
      <c r="T63" s="32"/>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row>
    <row r="64" spans="1:51" ht="15" customHeight="1" x14ac:dyDescent="0.25">
      <c r="A64" s="31"/>
      <c r="B64" s="31"/>
      <c r="C64" s="32"/>
      <c r="D64" s="31"/>
      <c r="E64" s="31"/>
      <c r="F64" s="33"/>
      <c r="G64" s="31"/>
      <c r="H64" s="31"/>
      <c r="I64" s="31"/>
      <c r="J64" s="31"/>
      <c r="K64" s="31"/>
      <c r="L64" s="31"/>
      <c r="M64" s="34"/>
      <c r="N64" s="34"/>
      <c r="O64" s="35"/>
      <c r="P64" s="35"/>
      <c r="Q64" s="32"/>
      <c r="R64" s="35"/>
      <c r="S64" s="35"/>
      <c r="T64" s="32"/>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row>
    <row r="65" spans="1:51" ht="15" customHeight="1" x14ac:dyDescent="0.25">
      <c r="A65" s="31"/>
      <c r="B65" s="31"/>
      <c r="C65" s="32"/>
      <c r="D65" s="31"/>
      <c r="E65" s="31"/>
      <c r="F65" s="33"/>
      <c r="G65" s="31"/>
      <c r="H65" s="31"/>
      <c r="I65" s="31"/>
      <c r="J65" s="31"/>
      <c r="K65" s="31"/>
      <c r="L65" s="31"/>
      <c r="M65" s="34"/>
      <c r="N65" s="34"/>
      <c r="O65" s="35"/>
      <c r="P65" s="35"/>
      <c r="Q65" s="32"/>
      <c r="R65" s="35"/>
      <c r="S65" s="35"/>
      <c r="T65" s="32"/>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row>
    <row r="66" spans="1:51" ht="15" customHeight="1" x14ac:dyDescent="0.25">
      <c r="A66" s="31"/>
      <c r="B66" s="31"/>
      <c r="C66" s="32"/>
      <c r="D66" s="31"/>
      <c r="E66" s="31"/>
      <c r="F66" s="33"/>
      <c r="G66" s="31"/>
      <c r="H66" s="31"/>
      <c r="I66" s="31"/>
      <c r="J66" s="31"/>
      <c r="K66" s="31"/>
      <c r="L66" s="31"/>
      <c r="M66" s="34"/>
      <c r="N66" s="34"/>
      <c r="O66" s="35"/>
      <c r="P66" s="35"/>
      <c r="Q66" s="32"/>
      <c r="R66" s="35"/>
      <c r="S66" s="35"/>
      <c r="T66" s="32"/>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row>
    <row r="67" spans="1:51" ht="15" customHeight="1" x14ac:dyDescent="0.25">
      <c r="A67" s="31"/>
      <c r="B67" s="31"/>
      <c r="C67" s="32"/>
      <c r="D67" s="31"/>
      <c r="E67" s="31"/>
      <c r="F67" s="33"/>
      <c r="G67" s="31"/>
      <c r="H67" s="31"/>
      <c r="I67" s="31"/>
      <c r="J67" s="31"/>
      <c r="K67" s="31"/>
      <c r="L67" s="31"/>
      <c r="M67" s="34"/>
      <c r="N67" s="34"/>
      <c r="O67" s="35"/>
      <c r="P67" s="35"/>
      <c r="Q67" s="32"/>
      <c r="R67" s="35"/>
      <c r="S67" s="35"/>
      <c r="T67" s="32"/>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row>
    <row r="68" spans="1:51" ht="15" customHeight="1" x14ac:dyDescent="0.25">
      <c r="A68" s="31"/>
      <c r="B68" s="31"/>
      <c r="C68" s="32"/>
      <c r="D68" s="31"/>
      <c r="E68" s="31"/>
      <c r="F68" s="33"/>
      <c r="G68" s="31"/>
      <c r="H68" s="31"/>
      <c r="I68" s="31"/>
      <c r="J68" s="31"/>
      <c r="K68" s="31"/>
      <c r="L68" s="31"/>
      <c r="M68" s="34"/>
      <c r="N68" s="34"/>
      <c r="O68" s="35"/>
      <c r="P68" s="35"/>
      <c r="Q68" s="32"/>
      <c r="R68" s="35"/>
      <c r="S68" s="35"/>
      <c r="T68" s="32"/>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row>
    <row r="69" spans="1:51" ht="15" customHeight="1" x14ac:dyDescent="0.25">
      <c r="A69" s="31"/>
      <c r="B69" s="31"/>
      <c r="C69" s="32"/>
      <c r="D69" s="31"/>
      <c r="E69" s="31"/>
      <c r="F69" s="33"/>
      <c r="G69" s="31"/>
      <c r="H69" s="31"/>
      <c r="I69" s="31"/>
      <c r="J69" s="31"/>
      <c r="K69" s="31"/>
      <c r="L69" s="31"/>
      <c r="M69" s="34"/>
      <c r="N69" s="34"/>
      <c r="O69" s="35"/>
      <c r="P69" s="35"/>
      <c r="Q69" s="32"/>
      <c r="R69" s="35"/>
      <c r="S69" s="35"/>
      <c r="T69" s="32"/>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row>
    <row r="70" spans="1:51" ht="15" customHeight="1" x14ac:dyDescent="0.25">
      <c r="A70" s="31"/>
      <c r="B70" s="31"/>
      <c r="C70" s="32"/>
      <c r="D70" s="31"/>
      <c r="E70" s="31"/>
      <c r="F70" s="33"/>
      <c r="G70" s="31"/>
      <c r="H70" s="31"/>
      <c r="I70" s="31"/>
      <c r="J70" s="31"/>
      <c r="K70" s="31"/>
      <c r="L70" s="31"/>
      <c r="M70" s="34"/>
      <c r="N70" s="34"/>
      <c r="O70" s="35"/>
      <c r="P70" s="35"/>
      <c r="Q70" s="32"/>
      <c r="R70" s="35"/>
      <c r="S70" s="35"/>
      <c r="T70" s="32"/>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row>
    <row r="71" spans="1:51" ht="15" customHeight="1" x14ac:dyDescent="0.25">
      <c r="A71" s="31"/>
      <c r="B71" s="31"/>
      <c r="C71" s="32"/>
      <c r="D71" s="31"/>
      <c r="E71" s="31"/>
      <c r="F71" s="33"/>
      <c r="G71" s="31"/>
      <c r="H71" s="31"/>
      <c r="I71" s="31"/>
      <c r="J71" s="31"/>
      <c r="K71" s="31"/>
      <c r="L71" s="31"/>
      <c r="M71" s="34"/>
      <c r="N71" s="34"/>
      <c r="O71" s="35"/>
      <c r="P71" s="35"/>
      <c r="Q71" s="32"/>
      <c r="R71" s="35"/>
      <c r="S71" s="35"/>
      <c r="T71" s="32"/>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row>
    <row r="72" spans="1:51" ht="15" customHeight="1" x14ac:dyDescent="0.25">
      <c r="A72" s="31"/>
      <c r="B72" s="31"/>
      <c r="C72" s="32"/>
      <c r="D72" s="31"/>
      <c r="E72" s="31"/>
      <c r="F72" s="33"/>
      <c r="G72" s="31"/>
      <c r="H72" s="31"/>
      <c r="I72" s="31"/>
      <c r="J72" s="31"/>
      <c r="K72" s="31"/>
      <c r="L72" s="31"/>
      <c r="M72" s="34"/>
      <c r="N72" s="34"/>
      <c r="O72" s="35"/>
      <c r="P72" s="35"/>
      <c r="Q72" s="32"/>
      <c r="R72" s="35"/>
      <c r="S72" s="35"/>
      <c r="T72" s="32"/>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row>
    <row r="73" spans="1:51" ht="15" customHeight="1" x14ac:dyDescent="0.25">
      <c r="A73" s="31"/>
      <c r="B73" s="31"/>
      <c r="C73" s="32"/>
      <c r="D73" s="31"/>
      <c r="E73" s="31"/>
      <c r="F73" s="33"/>
      <c r="G73" s="31"/>
      <c r="H73" s="31"/>
      <c r="I73" s="31"/>
      <c r="J73" s="31"/>
      <c r="K73" s="31"/>
      <c r="L73" s="31"/>
      <c r="M73" s="34"/>
      <c r="N73" s="34"/>
      <c r="O73" s="35"/>
      <c r="P73" s="35"/>
      <c r="Q73" s="32"/>
      <c r="R73" s="35"/>
      <c r="S73" s="35"/>
      <c r="T73" s="32"/>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row>
    <row r="74" spans="1:51" ht="15" customHeight="1" x14ac:dyDescent="0.25">
      <c r="A74" s="31"/>
      <c r="B74" s="31"/>
      <c r="C74" s="32"/>
      <c r="D74" s="31"/>
      <c r="E74" s="31"/>
      <c r="F74" s="33"/>
      <c r="G74" s="31"/>
      <c r="H74" s="31"/>
      <c r="I74" s="31"/>
      <c r="J74" s="31"/>
      <c r="K74" s="31"/>
      <c r="L74" s="31"/>
      <c r="M74" s="34"/>
      <c r="N74" s="34"/>
      <c r="O74" s="35"/>
      <c r="P74" s="35"/>
      <c r="Q74" s="32"/>
      <c r="R74" s="35"/>
      <c r="S74" s="35"/>
      <c r="T74" s="32"/>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row>
    <row r="75" spans="1:51" ht="15" customHeight="1" x14ac:dyDescent="0.25">
      <c r="A75" s="31"/>
      <c r="B75" s="31"/>
      <c r="C75" s="32"/>
      <c r="D75" s="31"/>
      <c r="E75" s="31"/>
      <c r="F75" s="33"/>
      <c r="G75" s="31"/>
      <c r="H75" s="31"/>
      <c r="I75" s="31"/>
      <c r="J75" s="31"/>
      <c r="K75" s="31"/>
      <c r="L75" s="31"/>
      <c r="M75" s="34"/>
      <c r="N75" s="34"/>
      <c r="O75" s="35"/>
      <c r="P75" s="35"/>
      <c r="Q75" s="32"/>
      <c r="R75" s="35"/>
      <c r="S75" s="35"/>
      <c r="T75" s="32"/>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row>
    <row r="76" spans="1:51" ht="15" customHeight="1" x14ac:dyDescent="0.25">
      <c r="A76" s="31"/>
      <c r="B76" s="31"/>
      <c r="C76" s="32"/>
      <c r="D76" s="31"/>
      <c r="E76" s="31"/>
      <c r="F76" s="33"/>
      <c r="G76" s="31"/>
      <c r="H76" s="31"/>
      <c r="I76" s="31"/>
      <c r="J76" s="31"/>
      <c r="K76" s="31"/>
      <c r="L76" s="31"/>
      <c r="M76" s="34"/>
      <c r="N76" s="34"/>
      <c r="O76" s="35"/>
      <c r="P76" s="35"/>
      <c r="Q76" s="32"/>
      <c r="R76" s="35"/>
      <c r="S76" s="35"/>
      <c r="T76" s="32"/>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row>
    <row r="77" spans="1:51" ht="15" customHeight="1" x14ac:dyDescent="0.25">
      <c r="A77" s="31"/>
      <c r="B77" s="31"/>
      <c r="C77" s="32"/>
      <c r="D77" s="31"/>
      <c r="E77" s="31"/>
      <c r="F77" s="33"/>
      <c r="G77" s="31"/>
      <c r="H77" s="31"/>
      <c r="I77" s="31"/>
      <c r="J77" s="31"/>
      <c r="K77" s="31"/>
      <c r="L77" s="31"/>
      <c r="M77" s="34"/>
      <c r="N77" s="34"/>
      <c r="O77" s="35"/>
      <c r="P77" s="35"/>
      <c r="Q77" s="32"/>
      <c r="R77" s="35"/>
      <c r="S77" s="35"/>
      <c r="T77" s="32"/>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row>
    <row r="78" spans="1:51" ht="15" customHeight="1" x14ac:dyDescent="0.25">
      <c r="A78" s="31"/>
      <c r="B78" s="31"/>
      <c r="C78" s="32"/>
      <c r="D78" s="31"/>
      <c r="E78" s="31"/>
      <c r="F78" s="33"/>
      <c r="G78" s="31"/>
      <c r="H78" s="31"/>
      <c r="I78" s="31"/>
      <c r="J78" s="31"/>
      <c r="K78" s="31"/>
      <c r="L78" s="31"/>
      <c r="M78" s="34"/>
      <c r="N78" s="34"/>
      <c r="O78" s="35"/>
      <c r="P78" s="35"/>
      <c r="Q78" s="32"/>
      <c r="R78" s="35"/>
      <c r="S78" s="35"/>
      <c r="T78" s="32"/>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row>
    <row r="79" spans="1:51" ht="15" customHeight="1" x14ac:dyDescent="0.25">
      <c r="A79" s="31"/>
      <c r="B79" s="31"/>
      <c r="C79" s="32"/>
      <c r="D79" s="31"/>
      <c r="E79" s="31"/>
      <c r="F79" s="33"/>
      <c r="G79" s="31"/>
      <c r="H79" s="31"/>
      <c r="I79" s="31"/>
      <c r="J79" s="31"/>
      <c r="K79" s="31"/>
      <c r="L79" s="31"/>
      <c r="M79" s="34"/>
      <c r="N79" s="34"/>
      <c r="O79" s="35"/>
      <c r="P79" s="35"/>
      <c r="Q79" s="32"/>
      <c r="R79" s="35"/>
      <c r="S79" s="35"/>
      <c r="T79" s="32"/>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row>
    <row r="80" spans="1:51" ht="15" customHeight="1" x14ac:dyDescent="0.25">
      <c r="A80" s="31"/>
      <c r="B80" s="31"/>
      <c r="C80" s="32"/>
      <c r="D80" s="31"/>
      <c r="E80" s="31"/>
      <c r="F80" s="33"/>
      <c r="G80" s="31"/>
      <c r="H80" s="31"/>
      <c r="I80" s="31"/>
      <c r="J80" s="31"/>
      <c r="K80" s="31"/>
      <c r="L80" s="31"/>
      <c r="M80" s="34"/>
      <c r="N80" s="34"/>
      <c r="O80" s="35"/>
      <c r="P80" s="35"/>
      <c r="Q80" s="32"/>
      <c r="R80" s="35"/>
      <c r="S80" s="35"/>
      <c r="T80" s="32"/>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row>
    <row r="81" spans="1:51" ht="15" customHeight="1" x14ac:dyDescent="0.25">
      <c r="A81" s="31"/>
      <c r="B81" s="31"/>
      <c r="C81" s="32"/>
      <c r="D81" s="31"/>
      <c r="E81" s="31"/>
      <c r="F81" s="33"/>
      <c r="G81" s="31"/>
      <c r="H81" s="31"/>
      <c r="I81" s="31"/>
      <c r="J81" s="31"/>
      <c r="K81" s="31"/>
      <c r="L81" s="31"/>
      <c r="M81" s="34"/>
      <c r="N81" s="34"/>
      <c r="O81" s="35"/>
      <c r="P81" s="35"/>
      <c r="Q81" s="32"/>
      <c r="R81" s="35"/>
      <c r="S81" s="35"/>
      <c r="T81" s="32"/>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row>
    <row r="82" spans="1:51" ht="15" customHeight="1" x14ac:dyDescent="0.25">
      <c r="A82" s="31"/>
      <c r="B82" s="31"/>
      <c r="C82" s="32"/>
      <c r="D82" s="31"/>
      <c r="E82" s="31"/>
      <c r="F82" s="33"/>
      <c r="G82" s="31"/>
      <c r="H82" s="31"/>
      <c r="I82" s="31"/>
      <c r="J82" s="31"/>
      <c r="K82" s="31"/>
      <c r="L82" s="31"/>
      <c r="M82" s="34"/>
      <c r="N82" s="34"/>
      <c r="O82" s="35"/>
      <c r="P82" s="35"/>
      <c r="Q82" s="32"/>
      <c r="R82" s="35"/>
      <c r="S82" s="35"/>
      <c r="T82" s="32"/>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row>
    <row r="83" spans="1:51" ht="15" customHeight="1" x14ac:dyDescent="0.25">
      <c r="A83" s="31"/>
      <c r="B83" s="31"/>
      <c r="C83" s="32"/>
      <c r="D83" s="31"/>
      <c r="E83" s="31"/>
      <c r="F83" s="33"/>
      <c r="G83" s="31"/>
      <c r="H83" s="31"/>
      <c r="I83" s="31"/>
      <c r="J83" s="31"/>
      <c r="K83" s="31"/>
      <c r="L83" s="31"/>
      <c r="M83" s="34"/>
      <c r="N83" s="34"/>
      <c r="O83" s="35"/>
      <c r="P83" s="35"/>
      <c r="Q83" s="32"/>
      <c r="R83" s="35"/>
      <c r="S83" s="35"/>
      <c r="T83" s="32"/>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row>
    <row r="84" spans="1:51" ht="15" customHeight="1" x14ac:dyDescent="0.25">
      <c r="A84" s="31"/>
      <c r="B84" s="31"/>
      <c r="C84" s="32"/>
      <c r="D84" s="31"/>
      <c r="E84" s="31"/>
      <c r="F84" s="33"/>
      <c r="G84" s="31"/>
      <c r="H84" s="31"/>
      <c r="I84" s="31"/>
      <c r="J84" s="31"/>
      <c r="K84" s="31"/>
      <c r="L84" s="31"/>
      <c r="M84" s="34"/>
      <c r="N84" s="34"/>
      <c r="O84" s="35"/>
      <c r="P84" s="35"/>
      <c r="Q84" s="32"/>
      <c r="R84" s="35"/>
      <c r="S84" s="35"/>
      <c r="T84" s="32"/>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row>
    <row r="85" spans="1:51" ht="15" customHeight="1" x14ac:dyDescent="0.25">
      <c r="A85" s="31"/>
      <c r="B85" s="31"/>
      <c r="C85" s="32"/>
      <c r="D85" s="31"/>
      <c r="E85" s="31"/>
      <c r="F85" s="33"/>
      <c r="G85" s="31"/>
      <c r="H85" s="31"/>
      <c r="I85" s="31"/>
      <c r="J85" s="31"/>
      <c r="K85" s="31"/>
      <c r="L85" s="31"/>
      <c r="M85" s="34"/>
      <c r="N85" s="34"/>
      <c r="O85" s="35"/>
      <c r="P85" s="35"/>
      <c r="Q85" s="32"/>
      <c r="R85" s="35"/>
      <c r="S85" s="35"/>
      <c r="T85" s="32"/>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row>
    <row r="86" spans="1:51" ht="15" customHeight="1" x14ac:dyDescent="0.25">
      <c r="A86" s="31"/>
      <c r="B86" s="31"/>
      <c r="C86" s="32"/>
      <c r="D86" s="31"/>
      <c r="E86" s="31"/>
      <c r="F86" s="33"/>
      <c r="G86" s="31"/>
      <c r="H86" s="31"/>
      <c r="I86" s="31"/>
      <c r="J86" s="31"/>
      <c r="K86" s="31"/>
      <c r="L86" s="31"/>
      <c r="M86" s="34"/>
      <c r="N86" s="34"/>
      <c r="O86" s="35"/>
      <c r="P86" s="35"/>
      <c r="Q86" s="32"/>
      <c r="R86" s="35"/>
      <c r="S86" s="35"/>
      <c r="T86" s="32"/>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row>
    <row r="87" spans="1:51" ht="15" customHeight="1" x14ac:dyDescent="0.25">
      <c r="A87" s="31"/>
      <c r="B87" s="31"/>
      <c r="C87" s="32"/>
      <c r="D87" s="31"/>
      <c r="E87" s="31"/>
      <c r="F87" s="33"/>
      <c r="G87" s="31"/>
      <c r="H87" s="31"/>
      <c r="I87" s="31"/>
      <c r="J87" s="31"/>
      <c r="K87" s="31"/>
      <c r="L87" s="31"/>
      <c r="M87" s="34"/>
      <c r="N87" s="34"/>
      <c r="O87" s="35"/>
      <c r="P87" s="35"/>
      <c r="Q87" s="32"/>
      <c r="R87" s="35"/>
      <c r="S87" s="35"/>
      <c r="T87" s="32"/>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row>
    <row r="88" spans="1:51" ht="15" customHeight="1" x14ac:dyDescent="0.25">
      <c r="A88" s="31"/>
      <c r="B88" s="31"/>
      <c r="C88" s="32"/>
      <c r="D88" s="31"/>
      <c r="E88" s="31"/>
      <c r="F88" s="33"/>
      <c r="G88" s="31"/>
      <c r="H88" s="31"/>
      <c r="I88" s="31"/>
      <c r="J88" s="31"/>
      <c r="K88" s="31"/>
      <c r="L88" s="31"/>
      <c r="M88" s="34"/>
      <c r="N88" s="34"/>
      <c r="O88" s="35"/>
      <c r="P88" s="35"/>
      <c r="Q88" s="32"/>
      <c r="R88" s="35"/>
      <c r="S88" s="35"/>
      <c r="T88" s="32"/>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row>
    <row r="89" spans="1:51" ht="15" customHeight="1" x14ac:dyDescent="0.25">
      <c r="A89" s="31"/>
      <c r="B89" s="31"/>
      <c r="C89" s="32"/>
      <c r="D89" s="31"/>
      <c r="E89" s="31"/>
      <c r="F89" s="33"/>
      <c r="G89" s="31"/>
      <c r="H89" s="31"/>
      <c r="I89" s="31"/>
      <c r="J89" s="31"/>
      <c r="K89" s="31"/>
      <c r="L89" s="31"/>
      <c r="M89" s="34"/>
      <c r="N89" s="34"/>
      <c r="O89" s="35"/>
      <c r="P89" s="35"/>
      <c r="Q89" s="32"/>
      <c r="R89" s="35"/>
      <c r="S89" s="35"/>
      <c r="T89" s="32"/>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row>
    <row r="90" spans="1:51" ht="15" customHeight="1" x14ac:dyDescent="0.25">
      <c r="A90" s="31"/>
      <c r="B90" s="31"/>
      <c r="C90" s="32"/>
      <c r="D90" s="31"/>
      <c r="E90" s="31"/>
      <c r="F90" s="33"/>
      <c r="G90" s="31"/>
      <c r="H90" s="31"/>
      <c r="I90" s="31"/>
      <c r="J90" s="31"/>
      <c r="K90" s="31"/>
      <c r="L90" s="31"/>
      <c r="M90" s="34"/>
      <c r="N90" s="34"/>
      <c r="O90" s="35"/>
      <c r="P90" s="35"/>
      <c r="Q90" s="32"/>
      <c r="R90" s="35"/>
      <c r="S90" s="35"/>
      <c r="T90" s="32"/>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row>
    <row r="91" spans="1:51" ht="15" customHeight="1" x14ac:dyDescent="0.25">
      <c r="A91" s="31"/>
      <c r="B91" s="31"/>
      <c r="C91" s="32"/>
      <c r="D91" s="31"/>
      <c r="E91" s="31"/>
      <c r="F91" s="33"/>
      <c r="G91" s="31"/>
      <c r="H91" s="31"/>
      <c r="I91" s="31"/>
      <c r="J91" s="31"/>
      <c r="K91" s="31"/>
      <c r="L91" s="31"/>
      <c r="M91" s="34"/>
      <c r="N91" s="34"/>
      <c r="O91" s="35"/>
      <c r="P91" s="35"/>
      <c r="Q91" s="32"/>
      <c r="R91" s="35"/>
      <c r="S91" s="35"/>
      <c r="T91" s="32"/>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row>
    <row r="92" spans="1:51" ht="15" customHeight="1" x14ac:dyDescent="0.25">
      <c r="A92" s="31"/>
      <c r="B92" s="31"/>
      <c r="C92" s="32"/>
      <c r="D92" s="31"/>
      <c r="E92" s="31"/>
      <c r="F92" s="33"/>
      <c r="G92" s="31"/>
      <c r="H92" s="31"/>
      <c r="I92" s="31"/>
      <c r="J92" s="31"/>
      <c r="K92" s="31"/>
      <c r="L92" s="31"/>
      <c r="M92" s="34"/>
      <c r="N92" s="34"/>
      <c r="O92" s="35"/>
      <c r="P92" s="35"/>
      <c r="Q92" s="32"/>
      <c r="R92" s="35"/>
      <c r="S92" s="35"/>
      <c r="T92" s="32"/>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row>
    <row r="93" spans="1:51" ht="15" customHeight="1" x14ac:dyDescent="0.25">
      <c r="A93" s="31"/>
      <c r="B93" s="31"/>
      <c r="C93" s="32"/>
      <c r="D93" s="31"/>
      <c r="E93" s="31"/>
      <c r="F93" s="33"/>
      <c r="G93" s="31"/>
      <c r="H93" s="31"/>
      <c r="I93" s="31"/>
      <c r="J93" s="31"/>
      <c r="K93" s="31"/>
      <c r="L93" s="31"/>
      <c r="M93" s="34"/>
      <c r="N93" s="34"/>
      <c r="O93" s="35"/>
      <c r="P93" s="35"/>
      <c r="Q93" s="32"/>
      <c r="R93" s="35"/>
      <c r="S93" s="35"/>
      <c r="T93" s="32"/>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row>
    <row r="94" spans="1:51" ht="15" customHeight="1" x14ac:dyDescent="0.25">
      <c r="A94" s="31"/>
      <c r="B94" s="31"/>
      <c r="C94" s="32"/>
      <c r="D94" s="31"/>
      <c r="E94" s="31"/>
      <c r="F94" s="33"/>
      <c r="G94" s="31"/>
      <c r="H94" s="31"/>
      <c r="I94" s="31"/>
      <c r="J94" s="31"/>
      <c r="K94" s="31"/>
      <c r="L94" s="31"/>
      <c r="M94" s="34"/>
      <c r="N94" s="34"/>
      <c r="O94" s="35"/>
      <c r="P94" s="35"/>
      <c r="Q94" s="32"/>
      <c r="R94" s="35"/>
      <c r="S94" s="35"/>
      <c r="T94" s="32"/>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row>
    <row r="95" spans="1:51" ht="15" customHeight="1" x14ac:dyDescent="0.25">
      <c r="A95" s="31"/>
      <c r="B95" s="31"/>
      <c r="C95" s="32"/>
      <c r="D95" s="31"/>
      <c r="E95" s="31"/>
      <c r="F95" s="33"/>
      <c r="G95" s="31"/>
      <c r="H95" s="31"/>
      <c r="I95" s="31"/>
      <c r="J95" s="31"/>
      <c r="K95" s="31"/>
      <c r="L95" s="31"/>
      <c r="M95" s="34"/>
      <c r="N95" s="34"/>
      <c r="O95" s="35"/>
      <c r="P95" s="35"/>
      <c r="Q95" s="32"/>
      <c r="R95" s="35"/>
      <c r="S95" s="35"/>
      <c r="T95" s="32"/>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row>
    <row r="96" spans="1:51" ht="15" customHeight="1" x14ac:dyDescent="0.25">
      <c r="A96" s="31"/>
      <c r="B96" s="31"/>
      <c r="C96" s="32"/>
      <c r="D96" s="31"/>
      <c r="E96" s="31"/>
      <c r="F96" s="33"/>
      <c r="G96" s="31"/>
      <c r="H96" s="31"/>
      <c r="I96" s="31"/>
      <c r="J96" s="31"/>
      <c r="K96" s="31"/>
      <c r="L96" s="31"/>
      <c r="M96" s="34"/>
      <c r="N96" s="34"/>
      <c r="O96" s="35"/>
      <c r="P96" s="35"/>
      <c r="Q96" s="32"/>
      <c r="R96" s="35"/>
      <c r="S96" s="35"/>
      <c r="T96" s="32"/>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row>
    <row r="97" spans="1:51" ht="15" customHeight="1" x14ac:dyDescent="0.25">
      <c r="A97" s="31"/>
      <c r="B97" s="31"/>
      <c r="C97" s="32"/>
      <c r="D97" s="31"/>
      <c r="E97" s="31"/>
      <c r="F97" s="33"/>
      <c r="G97" s="31"/>
      <c r="H97" s="31"/>
      <c r="I97" s="31"/>
      <c r="J97" s="31"/>
      <c r="K97" s="31"/>
      <c r="L97" s="31"/>
      <c r="M97" s="34"/>
      <c r="N97" s="34"/>
      <c r="O97" s="35"/>
      <c r="P97" s="35"/>
      <c r="Q97" s="32"/>
      <c r="R97" s="35"/>
      <c r="S97" s="35"/>
      <c r="T97" s="32"/>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row>
    <row r="98" spans="1:51" ht="15" customHeight="1" x14ac:dyDescent="0.25">
      <c r="A98" s="31"/>
      <c r="B98" s="31"/>
      <c r="C98" s="32"/>
      <c r="D98" s="31"/>
      <c r="E98" s="31"/>
      <c r="F98" s="33"/>
      <c r="G98" s="31"/>
      <c r="H98" s="31"/>
      <c r="I98" s="31"/>
      <c r="J98" s="31"/>
      <c r="K98" s="31"/>
      <c r="L98" s="31"/>
      <c r="M98" s="34"/>
      <c r="N98" s="34"/>
      <c r="O98" s="35"/>
      <c r="P98" s="35"/>
      <c r="Q98" s="32"/>
      <c r="R98" s="35"/>
      <c r="S98" s="35"/>
      <c r="T98" s="32"/>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row>
    <row r="99" spans="1:51" ht="15" customHeight="1" x14ac:dyDescent="0.25">
      <c r="A99" s="31"/>
      <c r="B99" s="31"/>
      <c r="C99" s="32"/>
      <c r="D99" s="31"/>
      <c r="E99" s="31"/>
      <c r="F99" s="33"/>
      <c r="G99" s="31"/>
      <c r="H99" s="31"/>
      <c r="I99" s="31"/>
      <c r="J99" s="31"/>
      <c r="K99" s="31"/>
      <c r="L99" s="31"/>
      <c r="M99" s="34"/>
      <c r="N99" s="34"/>
      <c r="O99" s="35"/>
      <c r="P99" s="35"/>
      <c r="Q99" s="32"/>
      <c r="R99" s="35"/>
      <c r="S99" s="35"/>
      <c r="T99" s="32"/>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row>
    <row r="100" spans="1:51" ht="15" customHeight="1" x14ac:dyDescent="0.25">
      <c r="A100" s="31"/>
      <c r="B100" s="31"/>
      <c r="C100" s="32"/>
      <c r="D100" s="31"/>
      <c r="E100" s="31"/>
      <c r="F100" s="33"/>
      <c r="G100" s="31"/>
      <c r="H100" s="31"/>
      <c r="I100" s="31"/>
      <c r="J100" s="31"/>
      <c r="K100" s="31"/>
      <c r="L100" s="31"/>
      <c r="M100" s="34"/>
      <c r="N100" s="34"/>
      <c r="O100" s="35"/>
      <c r="P100" s="35"/>
      <c r="Q100" s="32"/>
      <c r="R100" s="35"/>
      <c r="S100" s="35"/>
      <c r="T100" s="32"/>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row>
    <row r="101" spans="1:51" ht="15" customHeight="1" x14ac:dyDescent="0.25">
      <c r="A101" s="31"/>
      <c r="B101" s="31"/>
      <c r="C101" s="32"/>
      <c r="D101" s="31"/>
      <c r="E101" s="31"/>
      <c r="F101" s="33"/>
      <c r="G101" s="31"/>
      <c r="H101" s="31"/>
      <c r="I101" s="31"/>
      <c r="J101" s="31"/>
      <c r="K101" s="31"/>
      <c r="L101" s="31"/>
      <c r="M101" s="34"/>
      <c r="N101" s="34"/>
      <c r="O101" s="35"/>
      <c r="P101" s="35"/>
      <c r="Q101" s="32"/>
      <c r="R101" s="35"/>
      <c r="S101" s="35"/>
      <c r="T101" s="32"/>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row>
    <row r="102" spans="1:51" ht="15" customHeight="1" x14ac:dyDescent="0.25">
      <c r="A102" s="31"/>
      <c r="B102" s="31"/>
      <c r="C102" s="32"/>
      <c r="D102" s="31"/>
      <c r="E102" s="31"/>
      <c r="F102" s="33"/>
      <c r="G102" s="31"/>
      <c r="H102" s="31"/>
      <c r="I102" s="31"/>
      <c r="J102" s="31"/>
      <c r="K102" s="31"/>
      <c r="L102" s="31"/>
      <c r="M102" s="34"/>
      <c r="N102" s="34"/>
      <c r="O102" s="35"/>
      <c r="P102" s="35"/>
      <c r="Q102" s="32"/>
      <c r="R102" s="35"/>
      <c r="S102" s="35"/>
      <c r="T102" s="32"/>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row>
    <row r="103" spans="1:51" ht="15" customHeight="1" x14ac:dyDescent="0.25">
      <c r="A103" s="31"/>
      <c r="B103" s="31"/>
      <c r="C103" s="32"/>
      <c r="D103" s="31"/>
      <c r="E103" s="31"/>
      <c r="F103" s="33"/>
      <c r="G103" s="31"/>
      <c r="H103" s="31"/>
      <c r="I103" s="31"/>
      <c r="J103" s="31"/>
      <c r="K103" s="31"/>
      <c r="L103" s="31"/>
      <c r="M103" s="34"/>
      <c r="N103" s="34"/>
      <c r="O103" s="35"/>
      <c r="P103" s="35"/>
      <c r="Q103" s="32"/>
      <c r="R103" s="35"/>
      <c r="S103" s="35"/>
      <c r="T103" s="32"/>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row>
    <row r="104" spans="1:51" ht="15" customHeight="1" x14ac:dyDescent="0.25">
      <c r="A104" s="31"/>
      <c r="B104" s="31"/>
      <c r="C104" s="32"/>
      <c r="D104" s="31"/>
      <c r="E104" s="31"/>
      <c r="F104" s="33"/>
      <c r="G104" s="31"/>
      <c r="H104" s="31"/>
      <c r="I104" s="31"/>
      <c r="J104" s="31"/>
      <c r="K104" s="31"/>
      <c r="L104" s="31"/>
      <c r="M104" s="34"/>
      <c r="N104" s="34"/>
      <c r="O104" s="35"/>
      <c r="P104" s="35"/>
      <c r="Q104" s="32"/>
      <c r="R104" s="35"/>
      <c r="S104" s="35"/>
      <c r="T104" s="32"/>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row>
    <row r="105" spans="1:51" ht="15" customHeight="1" x14ac:dyDescent="0.25">
      <c r="A105" s="31"/>
      <c r="B105" s="31"/>
      <c r="C105" s="32"/>
      <c r="D105" s="31"/>
      <c r="E105" s="31"/>
      <c r="F105" s="33"/>
      <c r="G105" s="31"/>
      <c r="H105" s="31"/>
      <c r="I105" s="31"/>
      <c r="J105" s="31"/>
      <c r="K105" s="31"/>
      <c r="L105" s="31"/>
      <c r="M105" s="34"/>
      <c r="N105" s="34"/>
      <c r="O105" s="35"/>
      <c r="P105" s="35"/>
      <c r="Q105" s="32"/>
      <c r="R105" s="35"/>
      <c r="S105" s="35"/>
      <c r="T105" s="32"/>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row>
    <row r="106" spans="1:51" ht="15" customHeight="1" x14ac:dyDescent="0.25">
      <c r="A106" s="31"/>
      <c r="B106" s="31"/>
      <c r="C106" s="32"/>
      <c r="D106" s="31"/>
      <c r="E106" s="31"/>
      <c r="F106" s="33"/>
      <c r="G106" s="31"/>
      <c r="H106" s="31"/>
      <c r="I106" s="31"/>
      <c r="J106" s="31"/>
      <c r="K106" s="31"/>
      <c r="L106" s="31"/>
      <c r="M106" s="34"/>
      <c r="N106" s="34"/>
      <c r="O106" s="35"/>
      <c r="P106" s="35"/>
      <c r="Q106" s="32"/>
      <c r="R106" s="35"/>
      <c r="S106" s="35"/>
      <c r="T106" s="32"/>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row>
    <row r="107" spans="1:51" ht="15" customHeight="1" x14ac:dyDescent="0.25">
      <c r="A107" s="31"/>
      <c r="B107" s="31"/>
      <c r="C107" s="32"/>
      <c r="D107" s="31"/>
      <c r="E107" s="31"/>
      <c r="F107" s="33"/>
      <c r="G107" s="31"/>
      <c r="H107" s="31"/>
      <c r="I107" s="31"/>
      <c r="J107" s="31"/>
      <c r="K107" s="31"/>
      <c r="L107" s="31"/>
      <c r="M107" s="34"/>
      <c r="N107" s="34"/>
      <c r="O107" s="35"/>
      <c r="P107" s="35"/>
      <c r="Q107" s="32"/>
      <c r="R107" s="35"/>
      <c r="S107" s="35"/>
      <c r="T107" s="32"/>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row>
    <row r="108" spans="1:51" ht="15" customHeight="1" x14ac:dyDescent="0.25">
      <c r="A108" s="31"/>
      <c r="B108" s="31"/>
      <c r="C108" s="32"/>
      <c r="D108" s="31"/>
      <c r="E108" s="31"/>
      <c r="F108" s="33"/>
      <c r="G108" s="31"/>
      <c r="H108" s="31"/>
      <c r="I108" s="31"/>
      <c r="J108" s="31"/>
      <c r="K108" s="31"/>
      <c r="L108" s="31"/>
      <c r="M108" s="34"/>
      <c r="N108" s="34"/>
      <c r="O108" s="35"/>
      <c r="P108" s="35"/>
      <c r="Q108" s="32"/>
      <c r="R108" s="35"/>
      <c r="S108" s="35"/>
      <c r="T108" s="32"/>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row>
    <row r="109" spans="1:51" ht="15" customHeight="1" x14ac:dyDescent="0.25">
      <c r="A109" s="31"/>
      <c r="B109" s="31"/>
      <c r="C109" s="32"/>
      <c r="D109" s="31"/>
      <c r="E109" s="31"/>
      <c r="F109" s="33"/>
      <c r="G109" s="31"/>
      <c r="H109" s="31"/>
      <c r="I109" s="31"/>
      <c r="J109" s="31"/>
      <c r="K109" s="31"/>
      <c r="L109" s="31"/>
      <c r="M109" s="34"/>
      <c r="N109" s="34"/>
      <c r="O109" s="35"/>
      <c r="P109" s="35"/>
      <c r="Q109" s="32"/>
      <c r="R109" s="35"/>
      <c r="S109" s="35"/>
      <c r="T109" s="32"/>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row>
    <row r="110" spans="1:51" ht="15" customHeight="1" x14ac:dyDescent="0.25">
      <c r="A110" s="31"/>
      <c r="B110" s="31"/>
      <c r="C110" s="32"/>
      <c r="D110" s="31"/>
      <c r="E110" s="31"/>
      <c r="F110" s="33"/>
      <c r="G110" s="31"/>
      <c r="H110" s="31"/>
      <c r="I110" s="31"/>
      <c r="J110" s="31"/>
      <c r="K110" s="31"/>
      <c r="L110" s="31"/>
      <c r="M110" s="34"/>
      <c r="N110" s="34"/>
      <c r="O110" s="35"/>
      <c r="P110" s="35"/>
      <c r="Q110" s="32"/>
      <c r="R110" s="35"/>
      <c r="S110" s="35"/>
      <c r="T110" s="32"/>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row>
    <row r="111" spans="1:51" ht="15" customHeight="1" x14ac:dyDescent="0.25">
      <c r="A111" s="31"/>
      <c r="B111" s="31"/>
      <c r="C111" s="32"/>
      <c r="D111" s="31"/>
      <c r="E111" s="31"/>
      <c r="F111" s="33"/>
      <c r="G111" s="31"/>
      <c r="H111" s="31"/>
      <c r="I111" s="31"/>
      <c r="J111" s="31"/>
      <c r="K111" s="31"/>
      <c r="L111" s="31"/>
      <c r="M111" s="34"/>
      <c r="N111" s="34"/>
      <c r="O111" s="35"/>
      <c r="P111" s="35"/>
      <c r="Q111" s="32"/>
      <c r="R111" s="35"/>
      <c r="S111" s="35"/>
      <c r="T111" s="32"/>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row>
    <row r="112" spans="1:51" ht="15" customHeight="1" x14ac:dyDescent="0.25">
      <c r="A112" s="31"/>
      <c r="B112" s="31"/>
      <c r="C112" s="32"/>
      <c r="D112" s="31"/>
      <c r="E112" s="31"/>
      <c r="F112" s="33"/>
      <c r="G112" s="31"/>
      <c r="H112" s="31"/>
      <c r="I112" s="31"/>
      <c r="J112" s="31"/>
      <c r="K112" s="31"/>
      <c r="L112" s="31"/>
      <c r="M112" s="34"/>
      <c r="N112" s="34"/>
      <c r="O112" s="35"/>
      <c r="P112" s="35"/>
      <c r="Q112" s="32"/>
      <c r="R112" s="35"/>
      <c r="S112" s="35"/>
      <c r="T112" s="32"/>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row>
    <row r="113" spans="1:51" ht="15" customHeight="1" x14ac:dyDescent="0.25">
      <c r="A113" s="31"/>
      <c r="B113" s="31"/>
      <c r="C113" s="32"/>
      <c r="D113" s="31"/>
      <c r="E113" s="31"/>
      <c r="F113" s="33"/>
      <c r="G113" s="31"/>
      <c r="H113" s="31"/>
      <c r="I113" s="31"/>
      <c r="J113" s="31"/>
      <c r="K113" s="31"/>
      <c r="L113" s="31"/>
      <c r="M113" s="34"/>
      <c r="N113" s="34"/>
      <c r="O113" s="35"/>
      <c r="P113" s="35"/>
      <c r="Q113" s="32"/>
      <c r="R113" s="35"/>
      <c r="S113" s="35"/>
      <c r="T113" s="32"/>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row>
    <row r="114" spans="1:51" ht="15" customHeight="1" x14ac:dyDescent="0.25">
      <c r="A114" s="31"/>
      <c r="B114" s="31"/>
      <c r="C114" s="32"/>
      <c r="D114" s="31"/>
      <c r="E114" s="31"/>
      <c r="F114" s="33"/>
      <c r="G114" s="31"/>
      <c r="H114" s="31"/>
      <c r="I114" s="31"/>
      <c r="J114" s="31"/>
      <c r="K114" s="31"/>
      <c r="L114" s="31"/>
      <c r="M114" s="34"/>
      <c r="N114" s="34"/>
      <c r="O114" s="35"/>
      <c r="P114" s="35"/>
      <c r="Q114" s="32"/>
      <c r="R114" s="35"/>
      <c r="S114" s="35"/>
      <c r="T114" s="32"/>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row>
    <row r="115" spans="1:51" ht="15" customHeight="1" x14ac:dyDescent="0.25">
      <c r="A115" s="31"/>
      <c r="B115" s="31"/>
      <c r="C115" s="32"/>
      <c r="D115" s="31"/>
      <c r="E115" s="31"/>
      <c r="F115" s="33"/>
      <c r="G115" s="31"/>
      <c r="H115" s="31"/>
      <c r="I115" s="31"/>
      <c r="J115" s="31"/>
      <c r="K115" s="31"/>
      <c r="L115" s="31"/>
      <c r="M115" s="34"/>
      <c r="N115" s="34"/>
      <c r="O115" s="35"/>
      <c r="P115" s="35"/>
      <c r="Q115" s="32"/>
      <c r="R115" s="35"/>
      <c r="S115" s="35"/>
      <c r="T115" s="32"/>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row>
    <row r="116" spans="1:51" ht="15" customHeight="1" x14ac:dyDescent="0.25">
      <c r="A116" s="31"/>
      <c r="B116" s="31"/>
      <c r="C116" s="32"/>
      <c r="D116" s="31"/>
      <c r="E116" s="31"/>
      <c r="F116" s="33"/>
      <c r="G116" s="31"/>
      <c r="H116" s="31"/>
      <c r="I116" s="31"/>
      <c r="J116" s="31"/>
      <c r="K116" s="31"/>
      <c r="L116" s="31"/>
      <c r="M116" s="34"/>
      <c r="N116" s="34"/>
      <c r="O116" s="35"/>
      <c r="P116" s="35"/>
      <c r="Q116" s="32"/>
      <c r="R116" s="35"/>
      <c r="S116" s="35"/>
      <c r="T116" s="32"/>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row>
    <row r="117" spans="1:51" ht="15" customHeight="1" x14ac:dyDescent="0.25">
      <c r="A117" s="31"/>
      <c r="B117" s="31"/>
      <c r="C117" s="32"/>
      <c r="D117" s="31"/>
      <c r="E117" s="31"/>
      <c r="F117" s="33"/>
      <c r="G117" s="31"/>
      <c r="H117" s="31"/>
      <c r="I117" s="31"/>
      <c r="J117" s="31"/>
      <c r="K117" s="31"/>
      <c r="L117" s="31"/>
      <c r="M117" s="34"/>
      <c r="N117" s="34"/>
      <c r="O117" s="35"/>
      <c r="P117" s="35"/>
      <c r="Q117" s="32"/>
      <c r="R117" s="35"/>
      <c r="S117" s="35"/>
      <c r="T117" s="32"/>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row>
    <row r="118" spans="1:51" ht="15" customHeight="1" x14ac:dyDescent="0.25">
      <c r="A118" s="31"/>
      <c r="B118" s="31"/>
      <c r="C118" s="32"/>
      <c r="D118" s="31"/>
      <c r="E118" s="31"/>
      <c r="F118" s="33"/>
      <c r="G118" s="31"/>
      <c r="H118" s="31"/>
      <c r="I118" s="31"/>
      <c r="J118" s="31"/>
      <c r="K118" s="31"/>
      <c r="L118" s="31"/>
      <c r="M118" s="34"/>
      <c r="N118" s="34"/>
      <c r="O118" s="35"/>
      <c r="P118" s="35"/>
      <c r="Q118" s="32"/>
      <c r="R118" s="35"/>
      <c r="S118" s="35"/>
      <c r="T118" s="32"/>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row>
    <row r="119" spans="1:51" ht="15" customHeight="1" x14ac:dyDescent="0.25">
      <c r="A119" s="31"/>
      <c r="B119" s="31"/>
      <c r="C119" s="32"/>
      <c r="D119" s="31"/>
      <c r="E119" s="31"/>
      <c r="F119" s="33"/>
      <c r="G119" s="31"/>
      <c r="H119" s="31"/>
      <c r="I119" s="31"/>
      <c r="J119" s="31"/>
      <c r="K119" s="31"/>
      <c r="L119" s="31"/>
      <c r="M119" s="34"/>
      <c r="N119" s="34"/>
      <c r="O119" s="35"/>
      <c r="P119" s="35"/>
      <c r="Q119" s="32"/>
      <c r="R119" s="35"/>
      <c r="S119" s="35"/>
      <c r="T119" s="32"/>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row>
    <row r="120" spans="1:51" ht="15" customHeight="1" x14ac:dyDescent="0.25">
      <c r="A120" s="31"/>
      <c r="B120" s="31"/>
      <c r="C120" s="32"/>
      <c r="D120" s="31"/>
      <c r="E120" s="31"/>
      <c r="F120" s="33"/>
      <c r="G120" s="31"/>
      <c r="H120" s="31"/>
      <c r="I120" s="31"/>
      <c r="J120" s="31"/>
      <c r="K120" s="31"/>
      <c r="L120" s="31"/>
      <c r="M120" s="34"/>
      <c r="N120" s="34"/>
      <c r="O120" s="35"/>
      <c r="P120" s="35"/>
      <c r="Q120" s="32"/>
      <c r="R120" s="35"/>
      <c r="S120" s="35"/>
      <c r="T120" s="32"/>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row>
    <row r="121" spans="1:51" ht="15" customHeight="1" x14ac:dyDescent="0.25">
      <c r="A121" s="31"/>
      <c r="B121" s="31"/>
      <c r="C121" s="32"/>
      <c r="D121" s="31"/>
      <c r="E121" s="31"/>
      <c r="F121" s="33"/>
      <c r="G121" s="31"/>
      <c r="H121" s="31"/>
      <c r="I121" s="31"/>
      <c r="J121" s="31"/>
      <c r="K121" s="31"/>
      <c r="L121" s="31"/>
      <c r="M121" s="34"/>
      <c r="N121" s="34"/>
      <c r="O121" s="35"/>
      <c r="P121" s="35"/>
      <c r="Q121" s="32"/>
      <c r="R121" s="35"/>
      <c r="S121" s="35"/>
      <c r="T121" s="32"/>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row>
    <row r="122" spans="1:51" ht="15" customHeight="1" x14ac:dyDescent="0.2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row>
    <row r="123" spans="1:51" ht="15" customHeight="1" x14ac:dyDescent="0.2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row>
    <row r="124" spans="1:51" ht="15" customHeight="1" x14ac:dyDescent="0.2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row>
    <row r="125" spans="1:51" ht="15" customHeight="1" x14ac:dyDescent="0.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row>
    <row r="126" spans="1:51" ht="15" customHeight="1" x14ac:dyDescent="0.2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row>
    <row r="127" spans="1:51" ht="15" customHeight="1" x14ac:dyDescent="0.2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row>
    <row r="128" spans="1:51" ht="15" customHeight="1" x14ac:dyDescent="0.2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row>
    <row r="129" spans="1:51" ht="15" customHeight="1" x14ac:dyDescent="0.2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row>
    <row r="130" spans="1:51" ht="15" customHeight="1" x14ac:dyDescent="0.2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row>
    <row r="131" spans="1:51" ht="15" customHeight="1" x14ac:dyDescent="0.2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row>
    <row r="132" spans="1:51" ht="15" customHeight="1" x14ac:dyDescent="0.2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row>
    <row r="133" spans="1:51" ht="15" customHeight="1" x14ac:dyDescent="0.2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row>
    <row r="134" spans="1:51" ht="15" customHeight="1" x14ac:dyDescent="0.2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row>
    <row r="135" spans="1:51" ht="15" customHeight="1" x14ac:dyDescent="0.2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row>
    <row r="136" spans="1:51" ht="15" customHeight="1" x14ac:dyDescent="0.2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row>
    <row r="137" spans="1:51" ht="15" customHeight="1" x14ac:dyDescent="0.2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row>
    <row r="138" spans="1:51" ht="15" customHeight="1" x14ac:dyDescent="0.2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row>
    <row r="139" spans="1:51" ht="15" customHeight="1" x14ac:dyDescent="0.25">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row>
    <row r="140" spans="1:51" ht="15" customHeight="1" x14ac:dyDescent="0.25">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row>
    <row r="141" spans="1:51" ht="15" customHeight="1" x14ac:dyDescent="0.25">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row>
    <row r="142" spans="1:51" ht="15" customHeight="1" x14ac:dyDescent="0.25">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row>
    <row r="143" spans="1:51" ht="15" customHeight="1" x14ac:dyDescent="0.25">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row>
    <row r="144" spans="1:51" ht="15" customHeight="1" x14ac:dyDescent="0.25">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row>
    <row r="145" spans="1:51" ht="15" customHeight="1" x14ac:dyDescent="0.2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row>
    <row r="146" spans="1:51" ht="15" customHeight="1" x14ac:dyDescent="0.25">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row>
    <row r="147" spans="1:51" ht="15" customHeight="1" x14ac:dyDescent="0.25">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row>
    <row r="148" spans="1:51" ht="15" customHeight="1" x14ac:dyDescent="0.25">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row>
    <row r="149" spans="1:51" ht="15" customHeight="1" x14ac:dyDescent="0.25">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row>
    <row r="150" spans="1:51" ht="15" customHeight="1" x14ac:dyDescent="0.25">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row>
    <row r="151" spans="1:51" ht="15" customHeight="1" x14ac:dyDescent="0.25">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row>
    <row r="152" spans="1:51" ht="15" customHeight="1" x14ac:dyDescent="0.25">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row>
    <row r="153" spans="1:51" ht="15" customHeight="1" x14ac:dyDescent="0.25">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row>
    <row r="154" spans="1:51" ht="15" customHeight="1" x14ac:dyDescent="0.25">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row>
    <row r="155" spans="1:51" ht="15" customHeight="1" x14ac:dyDescent="0.2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row>
    <row r="156" spans="1:51" ht="15" customHeight="1" x14ac:dyDescent="0.25">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row>
    <row r="157" spans="1:51" ht="15" customHeight="1" x14ac:dyDescent="0.25">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row>
    <row r="158" spans="1:51" ht="15" customHeight="1" x14ac:dyDescent="0.25">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row>
    <row r="159" spans="1:51" ht="15" customHeight="1" x14ac:dyDescent="0.25">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row>
    <row r="160" spans="1:51" ht="15" customHeight="1" x14ac:dyDescent="0.25">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row>
    <row r="161" spans="1:51" ht="15" customHeight="1" x14ac:dyDescent="0.25">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row>
    <row r="162" spans="1:51" ht="15" customHeight="1" x14ac:dyDescent="0.25">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row>
    <row r="163" spans="1:51" ht="15" customHeight="1" x14ac:dyDescent="0.25">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row>
    <row r="164" spans="1:51" ht="15" customHeight="1" x14ac:dyDescent="0.25">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row>
    <row r="165" spans="1:51" ht="15" customHeight="1" x14ac:dyDescent="0.2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row>
    <row r="166" spans="1:51" ht="15" customHeight="1" x14ac:dyDescent="0.25">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row>
    <row r="167" spans="1:51" ht="15" customHeight="1" x14ac:dyDescent="0.25">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row>
    <row r="168" spans="1:51" ht="15" customHeight="1" x14ac:dyDescent="0.25">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row>
    <row r="169" spans="1:51" ht="15" customHeight="1" x14ac:dyDescent="0.25">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row>
    <row r="170" spans="1:51" ht="15" customHeight="1" x14ac:dyDescent="0.25">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row>
    <row r="171" spans="1:51" ht="15" customHeight="1" x14ac:dyDescent="0.25">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row>
    <row r="172" spans="1:51" ht="15" customHeight="1" x14ac:dyDescent="0.25">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row>
    <row r="173" spans="1:51" ht="15" customHeight="1" x14ac:dyDescent="0.25">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row>
    <row r="174" spans="1:51" ht="15" customHeight="1" x14ac:dyDescent="0.25">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row>
    <row r="175" spans="1:51" ht="15" customHeight="1" x14ac:dyDescent="0.2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row>
    <row r="176" spans="1:51" ht="15" customHeight="1" x14ac:dyDescent="0.2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row>
    <row r="177" spans="1:51" ht="15" customHeight="1" x14ac:dyDescent="0.2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row>
    <row r="178" spans="1:51" ht="15" customHeight="1" x14ac:dyDescent="0.25">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row>
    <row r="179" spans="1:51" ht="15" customHeight="1" x14ac:dyDescent="0.25">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row>
    <row r="180" spans="1:51" ht="15" customHeight="1" x14ac:dyDescent="0.2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row>
    <row r="181" spans="1:51" ht="15" customHeight="1" x14ac:dyDescent="0.25">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row>
    <row r="182" spans="1:51" ht="15" customHeight="1" x14ac:dyDescent="0.25">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row>
    <row r="183" spans="1:51" ht="15" customHeight="1" x14ac:dyDescent="0.25">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row>
    <row r="184" spans="1:51" ht="15" customHeight="1" x14ac:dyDescent="0.25">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row>
    <row r="185" spans="1:51" ht="15" customHeight="1" x14ac:dyDescent="0.2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row>
    <row r="186" spans="1:51" ht="15" customHeight="1" x14ac:dyDescent="0.25">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row>
    <row r="187" spans="1:51" ht="15" customHeight="1" x14ac:dyDescent="0.25">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row>
    <row r="188" spans="1:51" ht="15" customHeight="1" x14ac:dyDescent="0.25">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row>
    <row r="189" spans="1:51" ht="15" customHeight="1" x14ac:dyDescent="0.25">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row>
    <row r="190" spans="1:51" ht="15" customHeight="1" x14ac:dyDescent="0.25">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row>
    <row r="191" spans="1:51" ht="15" customHeight="1" x14ac:dyDescent="0.25">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row>
    <row r="192" spans="1:51" ht="15" customHeight="1" x14ac:dyDescent="0.2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row>
    <row r="193" spans="1:51" ht="15" customHeight="1" x14ac:dyDescent="0.25">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row>
    <row r="194" spans="1:51" ht="15" customHeight="1" x14ac:dyDescent="0.2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row>
    <row r="195" spans="1:51" ht="15" customHeight="1" x14ac:dyDescent="0.2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row>
    <row r="196" spans="1:51" ht="15" customHeight="1" x14ac:dyDescent="0.25">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row>
    <row r="197" spans="1:51" ht="15" customHeight="1" x14ac:dyDescent="0.25">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row>
    <row r="198" spans="1:51" ht="15" customHeight="1" x14ac:dyDescent="0.25">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row>
    <row r="199" spans="1:51" ht="15" customHeight="1" x14ac:dyDescent="0.25">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row>
    <row r="200" spans="1:51" ht="15" customHeight="1" x14ac:dyDescent="0.25">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row>
    <row r="201" spans="1:51" ht="15" customHeight="1" x14ac:dyDescent="0.25">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row>
    <row r="202" spans="1:51" ht="15" customHeight="1" x14ac:dyDescent="0.25">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row>
    <row r="203" spans="1:51" ht="15" customHeight="1" x14ac:dyDescent="0.25">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row>
    <row r="204" spans="1:51" ht="15" customHeight="1" x14ac:dyDescent="0.25">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row>
    <row r="205" spans="1:51" ht="15" customHeight="1" x14ac:dyDescent="0.2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row>
    <row r="206" spans="1:51" ht="15" customHeight="1" x14ac:dyDescent="0.25">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row>
    <row r="207" spans="1:51" ht="15" customHeight="1" x14ac:dyDescent="0.25">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row>
    <row r="208" spans="1:51" ht="15" customHeight="1" x14ac:dyDescent="0.25">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row>
    <row r="209" spans="1:51" ht="15" customHeight="1" x14ac:dyDescent="0.25">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row>
    <row r="210" spans="1:51" ht="15" customHeight="1" x14ac:dyDescent="0.25">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row>
    <row r="211" spans="1:51" ht="15" customHeight="1" x14ac:dyDescent="0.25">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row>
    <row r="212" spans="1:51" ht="15" customHeight="1" x14ac:dyDescent="0.25">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row>
    <row r="213" spans="1:51" ht="15" customHeight="1" x14ac:dyDescent="0.25">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row>
    <row r="214" spans="1:51" ht="15" customHeight="1" x14ac:dyDescent="0.25">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row>
    <row r="215" spans="1:51" ht="15" customHeight="1" x14ac:dyDescent="0.2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row>
    <row r="216" spans="1:51" ht="15" customHeight="1" x14ac:dyDescent="0.25">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row>
    <row r="217" spans="1:51" ht="15" customHeight="1" x14ac:dyDescent="0.25">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row>
    <row r="218" spans="1:51" ht="15" customHeight="1" x14ac:dyDescent="0.25">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row>
    <row r="219" spans="1:51" ht="15" customHeight="1" x14ac:dyDescent="0.25">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row>
    <row r="220" spans="1:51" ht="15" customHeight="1" x14ac:dyDescent="0.25">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row>
    <row r="221" spans="1:51" ht="15" customHeight="1" x14ac:dyDescent="0.25">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row>
    <row r="222" spans="1:51" ht="15" customHeight="1" x14ac:dyDescent="0.25">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row>
    <row r="223" spans="1:51" ht="15" customHeight="1" x14ac:dyDescent="0.25">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row>
    <row r="224" spans="1:51" ht="15" customHeight="1" x14ac:dyDescent="0.25">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row>
    <row r="225" spans="1:51" ht="15" customHeight="1" x14ac:dyDescent="0.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row>
    <row r="226" spans="1:51" ht="15" customHeight="1" x14ac:dyDescent="0.25">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row>
    <row r="227" spans="1:51" ht="15" customHeight="1" x14ac:dyDescent="0.25">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row>
    <row r="228" spans="1:51" ht="15" customHeight="1" x14ac:dyDescent="0.25">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row>
    <row r="229" spans="1:51" ht="15" customHeight="1" x14ac:dyDescent="0.25">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row>
    <row r="230" spans="1:51" ht="15" customHeight="1" x14ac:dyDescent="0.25">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row>
    <row r="231" spans="1:51" ht="15" customHeight="1" x14ac:dyDescent="0.25">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row>
    <row r="232" spans="1:51" ht="15" customHeight="1" x14ac:dyDescent="0.2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row>
    <row r="233" spans="1:51" ht="15" customHeight="1" x14ac:dyDescent="0.25">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row>
    <row r="234" spans="1:51" ht="15" customHeight="1" x14ac:dyDescent="0.25">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row>
    <row r="235" spans="1:51" ht="15" customHeight="1" x14ac:dyDescent="0.2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row>
    <row r="236" spans="1:51" ht="15" customHeight="1" x14ac:dyDescent="0.25">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row>
    <row r="237" spans="1:51" ht="15" customHeight="1" x14ac:dyDescent="0.25">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row>
    <row r="238" spans="1:51" ht="15" customHeight="1" x14ac:dyDescent="0.2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row>
    <row r="239" spans="1:51" ht="15" customHeight="1" x14ac:dyDescent="0.2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row>
    <row r="240" spans="1:51" ht="15" customHeight="1" x14ac:dyDescent="0.2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row>
    <row r="241" spans="1:51" ht="15" customHeight="1" x14ac:dyDescent="0.2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row>
    <row r="242" spans="1:51" ht="15" customHeight="1" x14ac:dyDescent="0.2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row>
    <row r="243" spans="1:51" ht="15" customHeight="1" x14ac:dyDescent="0.2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row>
    <row r="244" spans="1:51" ht="15" customHeight="1" x14ac:dyDescent="0.2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row>
    <row r="245" spans="1:51" ht="15" customHeight="1" x14ac:dyDescent="0.2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row>
    <row r="246" spans="1:51" ht="15" customHeight="1" x14ac:dyDescent="0.2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row>
    <row r="247" spans="1:51" ht="15" customHeight="1" x14ac:dyDescent="0.2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row>
    <row r="248" spans="1:51" ht="15" customHeight="1" x14ac:dyDescent="0.2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row>
    <row r="249" spans="1:51" ht="15" customHeight="1" x14ac:dyDescent="0.2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row>
    <row r="250" spans="1:51" ht="15" customHeight="1" x14ac:dyDescent="0.2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row>
    <row r="251" spans="1:51" ht="15" customHeight="1" x14ac:dyDescent="0.2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row>
    <row r="252" spans="1:51" ht="15" customHeight="1" x14ac:dyDescent="0.2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row>
    <row r="253" spans="1:51" ht="15" customHeight="1" x14ac:dyDescent="0.2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row>
    <row r="254" spans="1:51" ht="15" customHeight="1" x14ac:dyDescent="0.2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row>
    <row r="255" spans="1:51" ht="1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row>
    <row r="256" spans="1:51" ht="15" customHeight="1" x14ac:dyDescent="0.2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row>
    <row r="257" spans="1:51" ht="15" customHeight="1" x14ac:dyDescent="0.2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row>
    <row r="258" spans="1:51" ht="15" customHeight="1" x14ac:dyDescent="0.2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row>
    <row r="259" spans="1:51" ht="15" customHeight="1" x14ac:dyDescent="0.2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row>
    <row r="260" spans="1:51" ht="15" customHeight="1" x14ac:dyDescent="0.2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row>
    <row r="261" spans="1:51" ht="15" customHeight="1" x14ac:dyDescent="0.2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row>
    <row r="262" spans="1:51" ht="15" customHeight="1" x14ac:dyDescent="0.2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row>
    <row r="263" spans="1:51" ht="15" customHeight="1" x14ac:dyDescent="0.2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row>
    <row r="264" spans="1:51" ht="15" customHeight="1" x14ac:dyDescent="0.2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row>
    <row r="265" spans="1:51" ht="15" customHeight="1" x14ac:dyDescent="0.2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row>
    <row r="266" spans="1:51" ht="15" customHeight="1" x14ac:dyDescent="0.2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row>
    <row r="267" spans="1:51" ht="15" customHeight="1" x14ac:dyDescent="0.2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row>
    <row r="268" spans="1:51" ht="15" customHeight="1" x14ac:dyDescent="0.2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row>
    <row r="269" spans="1:51" ht="15" customHeight="1" x14ac:dyDescent="0.2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row>
    <row r="270" spans="1:51" ht="15" customHeight="1" x14ac:dyDescent="0.2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row>
    <row r="271" spans="1:51" ht="15" customHeight="1" x14ac:dyDescent="0.2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row>
    <row r="272" spans="1:51" ht="15" customHeight="1" x14ac:dyDescent="0.2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row>
    <row r="273" spans="1:51" ht="15" customHeight="1" x14ac:dyDescent="0.2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row>
    <row r="274" spans="1:51" ht="15" customHeight="1" x14ac:dyDescent="0.2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row>
    <row r="275" spans="1:51" ht="15" customHeight="1" x14ac:dyDescent="0.2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row>
    <row r="276" spans="1:51" ht="15" customHeight="1" x14ac:dyDescent="0.2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row>
    <row r="277" spans="1:51" ht="15" customHeight="1" x14ac:dyDescent="0.2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row>
    <row r="278" spans="1:51" ht="15" customHeight="1" x14ac:dyDescent="0.2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row>
    <row r="279" spans="1:51" ht="15" customHeight="1" x14ac:dyDescent="0.2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row>
    <row r="280" spans="1:51" ht="15" customHeight="1" x14ac:dyDescent="0.2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row>
    <row r="281" spans="1:51" ht="15" customHeight="1" x14ac:dyDescent="0.2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row>
    <row r="282" spans="1:51" ht="15" customHeight="1" x14ac:dyDescent="0.2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row>
    <row r="283" spans="1:51" ht="15" customHeight="1" x14ac:dyDescent="0.2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row>
    <row r="284" spans="1:51" ht="15" customHeight="1" x14ac:dyDescent="0.2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row>
    <row r="285" spans="1:51" ht="15" customHeight="1" x14ac:dyDescent="0.2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row>
    <row r="286" spans="1:51" ht="15" customHeight="1" x14ac:dyDescent="0.2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row>
    <row r="287" spans="1:51" ht="15" customHeight="1" x14ac:dyDescent="0.2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row>
    <row r="288" spans="1:51" ht="15" customHeight="1" x14ac:dyDescent="0.2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row>
    <row r="289" spans="1:51" ht="15" customHeight="1" x14ac:dyDescent="0.2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row>
    <row r="290" spans="1:51" ht="15" customHeight="1" x14ac:dyDescent="0.2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row>
    <row r="291" spans="1:51" ht="15" customHeight="1" x14ac:dyDescent="0.2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row>
    <row r="292" spans="1:51" ht="15" customHeight="1" x14ac:dyDescent="0.2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row>
    <row r="293" spans="1:51" ht="15" customHeight="1" x14ac:dyDescent="0.2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row>
    <row r="294" spans="1:51" ht="15" customHeight="1" x14ac:dyDescent="0.2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row>
    <row r="295" spans="1:51" ht="15" customHeight="1" x14ac:dyDescent="0.2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row>
    <row r="296" spans="1:51" ht="15" customHeight="1" x14ac:dyDescent="0.2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row>
    <row r="297" spans="1:51" ht="15" customHeight="1" x14ac:dyDescent="0.2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row>
    <row r="298" spans="1:51" ht="15" customHeight="1" x14ac:dyDescent="0.2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row>
    <row r="299" spans="1:51" ht="15" customHeight="1" x14ac:dyDescent="0.2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row>
    <row r="300" spans="1:51" ht="15" customHeight="1" x14ac:dyDescent="0.2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row>
    <row r="301" spans="1:51" ht="15" customHeight="1" x14ac:dyDescent="0.2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row>
    <row r="302" spans="1:51" ht="15" customHeight="1" x14ac:dyDescent="0.2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row>
    <row r="303" spans="1:51" ht="15" customHeight="1" x14ac:dyDescent="0.2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row>
    <row r="304" spans="1:51" ht="15" customHeight="1" x14ac:dyDescent="0.2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row>
    <row r="305" spans="1:51" ht="15" customHeight="1" x14ac:dyDescent="0.2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row>
    <row r="306" spans="1:51" ht="15" customHeight="1" x14ac:dyDescent="0.2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row>
    <row r="307" spans="1:51" ht="15" customHeight="1" x14ac:dyDescent="0.2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row>
    <row r="308" spans="1:51" ht="15" customHeight="1" x14ac:dyDescent="0.2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row>
    <row r="309" spans="1:51" ht="15" customHeight="1" x14ac:dyDescent="0.2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row>
    <row r="310" spans="1:51" ht="15" customHeight="1" x14ac:dyDescent="0.2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row>
    <row r="311" spans="1:51" ht="15" customHeight="1" x14ac:dyDescent="0.2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row>
    <row r="312" spans="1:51" ht="15" customHeight="1" x14ac:dyDescent="0.2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row>
    <row r="313" spans="1:51" ht="15" customHeight="1" x14ac:dyDescent="0.2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row>
    <row r="314" spans="1:51" ht="15" customHeight="1" x14ac:dyDescent="0.2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row>
    <row r="315" spans="1:51" ht="15" customHeight="1" x14ac:dyDescent="0.2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row>
    <row r="316" spans="1:51" ht="15" customHeight="1" x14ac:dyDescent="0.2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row>
    <row r="317" spans="1:51" ht="15" customHeight="1" x14ac:dyDescent="0.2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row>
    <row r="318" spans="1:51" ht="15" customHeight="1" x14ac:dyDescent="0.2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row>
    <row r="319" spans="1:51" ht="15" customHeight="1" x14ac:dyDescent="0.2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row>
    <row r="320" spans="1:51" ht="15" customHeight="1" x14ac:dyDescent="0.2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row>
    <row r="321" spans="1:51" ht="15" customHeight="1" x14ac:dyDescent="0.2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row>
    <row r="322" spans="1:51" ht="15" customHeight="1" x14ac:dyDescent="0.2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row>
    <row r="323" spans="1:51" ht="15" customHeight="1" x14ac:dyDescent="0.2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row>
    <row r="324" spans="1:51" ht="15" customHeight="1" x14ac:dyDescent="0.2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row>
    <row r="325" spans="1:51" ht="15" customHeight="1" x14ac:dyDescent="0.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row>
    <row r="326" spans="1:51" ht="15" customHeight="1" x14ac:dyDescent="0.2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row>
    <row r="327" spans="1:51" ht="15" customHeight="1" x14ac:dyDescent="0.2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row>
    <row r="328" spans="1:51" ht="15" customHeight="1" x14ac:dyDescent="0.2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row>
    <row r="329" spans="1:51" ht="15" customHeight="1" x14ac:dyDescent="0.2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row>
    <row r="330" spans="1:51" ht="15" customHeight="1" x14ac:dyDescent="0.2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row>
    <row r="331" spans="1:51" ht="15" customHeight="1" x14ac:dyDescent="0.2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row>
    <row r="332" spans="1:51" ht="15" customHeight="1" x14ac:dyDescent="0.2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row>
    <row r="333" spans="1:51" ht="15" customHeight="1" x14ac:dyDescent="0.2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row>
    <row r="334" spans="1:51" ht="15" customHeight="1" x14ac:dyDescent="0.2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row>
    <row r="335" spans="1:51" ht="15" customHeight="1" x14ac:dyDescent="0.2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row>
    <row r="336" spans="1:51" ht="15" customHeight="1" x14ac:dyDescent="0.2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row>
    <row r="337" spans="1:51" ht="15" customHeight="1" x14ac:dyDescent="0.2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row>
    <row r="338" spans="1:51" ht="15" customHeight="1" x14ac:dyDescent="0.2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row>
    <row r="339" spans="1:51" ht="15" customHeight="1" x14ac:dyDescent="0.2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row>
    <row r="340" spans="1:51" ht="15" customHeight="1" x14ac:dyDescent="0.2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row>
    <row r="341" spans="1:51" ht="15" customHeight="1" x14ac:dyDescent="0.2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row>
    <row r="342" spans="1:51" ht="15" customHeight="1" x14ac:dyDescent="0.2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row>
    <row r="343" spans="1:51" ht="15" customHeight="1" x14ac:dyDescent="0.2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row>
    <row r="344" spans="1:51" ht="15" customHeight="1" x14ac:dyDescent="0.2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row>
    <row r="345" spans="1:51" ht="15" customHeight="1" x14ac:dyDescent="0.2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row>
    <row r="346" spans="1:51" ht="15" customHeight="1" x14ac:dyDescent="0.2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row>
    <row r="347" spans="1:51" ht="15" customHeight="1" x14ac:dyDescent="0.2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row>
    <row r="348" spans="1:51" ht="15" customHeight="1" x14ac:dyDescent="0.2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row>
    <row r="349" spans="1:51" ht="15" customHeight="1" x14ac:dyDescent="0.2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row>
    <row r="350" spans="1:51" ht="15" customHeight="1" x14ac:dyDescent="0.2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row>
    <row r="351" spans="1:51" ht="15" customHeight="1" x14ac:dyDescent="0.2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row>
    <row r="352" spans="1:51" ht="15" customHeight="1" x14ac:dyDescent="0.2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row>
    <row r="353" spans="1:51" ht="15" customHeight="1" x14ac:dyDescent="0.2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row>
    <row r="354" spans="1:51" ht="15" customHeight="1" x14ac:dyDescent="0.2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row>
    <row r="355" spans="1:51" ht="15" customHeight="1" x14ac:dyDescent="0.2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row>
    <row r="356" spans="1:51" ht="15" customHeight="1" x14ac:dyDescent="0.2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row>
    <row r="357" spans="1:51" ht="15" customHeight="1" x14ac:dyDescent="0.2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row>
    <row r="358" spans="1:51" ht="15" customHeight="1" x14ac:dyDescent="0.2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row>
    <row r="359" spans="1:51" ht="15" customHeight="1" x14ac:dyDescent="0.2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row>
    <row r="360" spans="1:51" ht="15" customHeight="1" x14ac:dyDescent="0.2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row>
    <row r="361" spans="1:51" ht="15" customHeight="1" x14ac:dyDescent="0.2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row>
    <row r="362" spans="1:51" ht="15" customHeight="1" x14ac:dyDescent="0.2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row>
    <row r="363" spans="1:51" ht="15" customHeight="1" x14ac:dyDescent="0.2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row>
    <row r="364" spans="1:51" ht="15" customHeight="1" x14ac:dyDescent="0.2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row>
    <row r="365" spans="1:51" ht="15" customHeight="1" x14ac:dyDescent="0.2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row>
    <row r="366" spans="1:51" ht="15" customHeight="1" x14ac:dyDescent="0.2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row>
    <row r="367" spans="1:51" ht="15" customHeight="1" x14ac:dyDescent="0.2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row>
    <row r="368" spans="1:51" ht="15" customHeight="1" x14ac:dyDescent="0.2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row>
    <row r="369" spans="1:51" ht="15" customHeight="1" x14ac:dyDescent="0.2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row>
    <row r="370" spans="1:51" ht="15" customHeight="1" x14ac:dyDescent="0.2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row>
    <row r="371" spans="1:51" ht="15" customHeight="1" x14ac:dyDescent="0.2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row>
    <row r="372" spans="1:51" ht="15" customHeight="1" x14ac:dyDescent="0.2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row>
    <row r="373" spans="1:51" ht="15" customHeight="1" x14ac:dyDescent="0.2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row>
    <row r="374" spans="1:51" ht="15" customHeight="1" x14ac:dyDescent="0.2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row>
    <row r="375" spans="1:51" ht="15" customHeight="1" x14ac:dyDescent="0.2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row>
    <row r="376" spans="1:51" ht="15" customHeight="1" x14ac:dyDescent="0.2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row>
    <row r="377" spans="1:51" ht="15" customHeight="1" x14ac:dyDescent="0.2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row>
    <row r="378" spans="1:51" ht="15" customHeight="1" x14ac:dyDescent="0.2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row>
    <row r="379" spans="1:51" ht="15" customHeight="1" x14ac:dyDescent="0.2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row>
    <row r="380" spans="1:51" ht="15" customHeight="1" x14ac:dyDescent="0.2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row>
    <row r="381" spans="1:51" ht="15" customHeight="1" x14ac:dyDescent="0.2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row>
    <row r="382" spans="1:51" ht="15" customHeight="1" x14ac:dyDescent="0.2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row>
    <row r="383" spans="1:51" ht="15" customHeight="1" x14ac:dyDescent="0.2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row>
    <row r="384" spans="1:51" ht="15" customHeight="1" x14ac:dyDescent="0.2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row>
    <row r="385" spans="1:51" ht="15" customHeight="1" x14ac:dyDescent="0.2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row>
    <row r="386" spans="1:51" ht="15" customHeight="1" x14ac:dyDescent="0.2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row>
    <row r="387" spans="1:51" ht="15" customHeight="1" x14ac:dyDescent="0.2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row>
    <row r="388" spans="1:51" ht="15" customHeight="1" x14ac:dyDescent="0.2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row>
    <row r="389" spans="1:51" ht="15" customHeight="1" x14ac:dyDescent="0.2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row>
    <row r="390" spans="1:51" ht="15" customHeight="1" x14ac:dyDescent="0.2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row>
    <row r="391" spans="1:51" ht="15" customHeight="1" x14ac:dyDescent="0.2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row>
    <row r="392" spans="1:51" ht="15" customHeight="1" x14ac:dyDescent="0.2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row>
    <row r="393" spans="1:51" ht="15" customHeight="1" x14ac:dyDescent="0.2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row>
    <row r="394" spans="1:51" ht="15" customHeight="1" x14ac:dyDescent="0.2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row>
    <row r="395" spans="1:51" ht="15" customHeight="1" x14ac:dyDescent="0.2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row>
    <row r="396" spans="1:51" ht="15" customHeight="1" x14ac:dyDescent="0.2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row>
    <row r="397" spans="1:51" ht="15" customHeight="1" x14ac:dyDescent="0.2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row>
    <row r="398" spans="1:51" ht="15" customHeight="1" x14ac:dyDescent="0.2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row>
    <row r="399" spans="1:51" ht="15" customHeight="1" x14ac:dyDescent="0.2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row>
    <row r="400" spans="1:51" ht="15" customHeight="1" x14ac:dyDescent="0.2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row>
    <row r="401" spans="1:51" ht="15" customHeight="1" x14ac:dyDescent="0.2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row>
    <row r="402" spans="1:51" ht="15" customHeight="1" x14ac:dyDescent="0.2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row>
    <row r="403" spans="1:51" ht="15" customHeight="1" x14ac:dyDescent="0.2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row>
    <row r="404" spans="1:51" ht="15" customHeight="1" x14ac:dyDescent="0.2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row>
    <row r="405" spans="1:51" ht="15" customHeight="1" x14ac:dyDescent="0.2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row>
    <row r="406" spans="1:51" ht="15" customHeight="1" x14ac:dyDescent="0.2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row>
    <row r="407" spans="1:51" ht="15" customHeight="1" x14ac:dyDescent="0.2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row>
    <row r="408" spans="1:51" ht="15" customHeight="1" x14ac:dyDescent="0.2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row>
    <row r="409" spans="1:51" ht="15" customHeight="1" x14ac:dyDescent="0.2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row>
    <row r="410" spans="1:51" ht="15" customHeight="1" x14ac:dyDescent="0.2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row>
    <row r="411" spans="1:51" ht="15" customHeight="1" x14ac:dyDescent="0.2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row>
    <row r="412" spans="1:51" ht="15" customHeight="1" x14ac:dyDescent="0.2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row>
    <row r="413" spans="1:51" ht="15" customHeight="1" x14ac:dyDescent="0.2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row>
    <row r="414" spans="1:51" ht="15" customHeight="1" x14ac:dyDescent="0.2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row>
    <row r="415" spans="1:51" ht="15" customHeight="1" x14ac:dyDescent="0.2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row>
    <row r="416" spans="1:51" ht="15" customHeight="1" x14ac:dyDescent="0.2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row>
    <row r="417" spans="1:51" ht="15" customHeight="1" x14ac:dyDescent="0.2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row>
    <row r="418" spans="1:51" ht="15" customHeight="1" x14ac:dyDescent="0.2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row>
    <row r="419" spans="1:51" ht="15" customHeight="1" x14ac:dyDescent="0.2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row>
    <row r="420" spans="1:51" ht="15" customHeight="1" x14ac:dyDescent="0.2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row>
    <row r="421" spans="1:51" ht="15" customHeight="1" x14ac:dyDescent="0.2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row>
    <row r="422" spans="1:51" ht="15" customHeight="1" x14ac:dyDescent="0.2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row>
    <row r="423" spans="1:51" ht="15" customHeight="1" x14ac:dyDescent="0.2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row>
    <row r="424" spans="1:51" ht="15" customHeight="1" x14ac:dyDescent="0.2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row>
    <row r="425" spans="1:51" ht="15" customHeight="1" x14ac:dyDescent="0.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row>
    <row r="426" spans="1:51" ht="15" customHeight="1" x14ac:dyDescent="0.2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row>
    <row r="427" spans="1:51" ht="15" customHeight="1" x14ac:dyDescent="0.2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row>
    <row r="428" spans="1:51" ht="15" customHeight="1" x14ac:dyDescent="0.2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row>
    <row r="429" spans="1:51" ht="15" customHeight="1" x14ac:dyDescent="0.2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row>
    <row r="430" spans="1:51" ht="15" customHeight="1" x14ac:dyDescent="0.2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row>
    <row r="431" spans="1:51" ht="15" customHeight="1" x14ac:dyDescent="0.2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row>
    <row r="432" spans="1:51" ht="15" customHeight="1" x14ac:dyDescent="0.2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row>
    <row r="433" spans="1:51" ht="15" customHeight="1" x14ac:dyDescent="0.2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row>
    <row r="434" spans="1:51" ht="15" customHeight="1" x14ac:dyDescent="0.2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row>
    <row r="435" spans="1:51" ht="15" customHeight="1" x14ac:dyDescent="0.2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row>
    <row r="436" spans="1:51" ht="15" customHeight="1" x14ac:dyDescent="0.2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row>
    <row r="437" spans="1:51" ht="15" customHeight="1" x14ac:dyDescent="0.2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row>
    <row r="438" spans="1:51" ht="15" customHeight="1" x14ac:dyDescent="0.2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row>
    <row r="439" spans="1:51" ht="15" customHeight="1" x14ac:dyDescent="0.2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row>
    <row r="440" spans="1:51" ht="15" customHeight="1" x14ac:dyDescent="0.2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row>
    <row r="441" spans="1:51" ht="15" customHeight="1" x14ac:dyDescent="0.2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row>
    <row r="442" spans="1:51" ht="15" customHeight="1" x14ac:dyDescent="0.2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row>
    <row r="443" spans="1:51" ht="15" customHeight="1" x14ac:dyDescent="0.2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row>
    <row r="444" spans="1:51" ht="15" customHeight="1" x14ac:dyDescent="0.2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row>
    <row r="445" spans="1:51" ht="15" customHeight="1" x14ac:dyDescent="0.2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row>
    <row r="446" spans="1:51" ht="15" customHeight="1" x14ac:dyDescent="0.2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row>
    <row r="447" spans="1:51" ht="15" customHeight="1" x14ac:dyDescent="0.2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row>
    <row r="448" spans="1:51" ht="15" customHeight="1" x14ac:dyDescent="0.2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row>
    <row r="449" spans="1:51" ht="15" customHeight="1" x14ac:dyDescent="0.2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row>
    <row r="450" spans="1:51" ht="15" customHeight="1" x14ac:dyDescent="0.2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row>
    <row r="451" spans="1:51" ht="15" customHeight="1" x14ac:dyDescent="0.2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row>
    <row r="452" spans="1:51" ht="15" customHeight="1" x14ac:dyDescent="0.2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row>
    <row r="453" spans="1:51" ht="15" customHeight="1" x14ac:dyDescent="0.2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row>
    <row r="454" spans="1:51" ht="15" customHeight="1" x14ac:dyDescent="0.2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row>
    <row r="455" spans="1:51" ht="15" customHeight="1" x14ac:dyDescent="0.2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row>
    <row r="456" spans="1:51" ht="15" customHeight="1" x14ac:dyDescent="0.2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row>
    <row r="457" spans="1:51" ht="15" customHeight="1" x14ac:dyDescent="0.2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row>
    <row r="458" spans="1:51" ht="15" customHeight="1" x14ac:dyDescent="0.2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row>
    <row r="459" spans="1:51" ht="15" customHeight="1" x14ac:dyDescent="0.2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row>
    <row r="460" spans="1:51" ht="15" customHeight="1" x14ac:dyDescent="0.2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row>
    <row r="461" spans="1:51" ht="15" customHeight="1" x14ac:dyDescent="0.2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row>
    <row r="462" spans="1:51" ht="15" customHeight="1" x14ac:dyDescent="0.2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row>
    <row r="463" spans="1:51" ht="15" customHeight="1" x14ac:dyDescent="0.2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row>
    <row r="464" spans="1:51" ht="15" customHeight="1" x14ac:dyDescent="0.2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row>
    <row r="465" spans="1:51" ht="15" customHeight="1" x14ac:dyDescent="0.2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row>
    <row r="466" spans="1:51" ht="15" customHeight="1" x14ac:dyDescent="0.2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row>
    <row r="467" spans="1:51" ht="15" customHeight="1" x14ac:dyDescent="0.2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row>
    <row r="468" spans="1:51" ht="15" customHeight="1" x14ac:dyDescent="0.2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row>
    <row r="469" spans="1:51" ht="15" customHeight="1" x14ac:dyDescent="0.2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row>
    <row r="470" spans="1:51" ht="15" customHeight="1" x14ac:dyDescent="0.2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row>
    <row r="471" spans="1:51" ht="15" customHeight="1" x14ac:dyDescent="0.2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row>
    <row r="472" spans="1:51" ht="15" customHeight="1" x14ac:dyDescent="0.2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row>
    <row r="473" spans="1:51" ht="15" customHeight="1" x14ac:dyDescent="0.2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row>
    <row r="474" spans="1:51" ht="15" customHeight="1" x14ac:dyDescent="0.2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row>
    <row r="475" spans="1:51" ht="15" customHeight="1" x14ac:dyDescent="0.2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row>
    <row r="476" spans="1:51" ht="15" customHeight="1" x14ac:dyDescent="0.2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row>
    <row r="477" spans="1:51" ht="15" customHeight="1" x14ac:dyDescent="0.2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row>
    <row r="478" spans="1:51" ht="15" customHeight="1" x14ac:dyDescent="0.2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row>
    <row r="479" spans="1:51" ht="15" customHeight="1" x14ac:dyDescent="0.2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row>
    <row r="480" spans="1:51" ht="15" customHeight="1" x14ac:dyDescent="0.2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row>
    <row r="481" spans="1:51" ht="15" customHeight="1" x14ac:dyDescent="0.2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row>
    <row r="482" spans="1:51" ht="15" customHeight="1" x14ac:dyDescent="0.2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row>
    <row r="483" spans="1:51" ht="15" customHeight="1" x14ac:dyDescent="0.2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row>
    <row r="484" spans="1:51" ht="15" customHeight="1" x14ac:dyDescent="0.2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row>
    <row r="485" spans="1:51" ht="15" customHeight="1" x14ac:dyDescent="0.2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row>
    <row r="486" spans="1:51" ht="15" customHeight="1" x14ac:dyDescent="0.2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row>
    <row r="487" spans="1:51" ht="15" customHeight="1" x14ac:dyDescent="0.2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row>
    <row r="488" spans="1:51" ht="15" customHeight="1" x14ac:dyDescent="0.2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row>
    <row r="489" spans="1:51" ht="15" customHeight="1" x14ac:dyDescent="0.2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row>
    <row r="490" spans="1:51" ht="15" customHeight="1" x14ac:dyDescent="0.2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row>
    <row r="491" spans="1:51" ht="15" customHeight="1" x14ac:dyDescent="0.2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row>
    <row r="492" spans="1:51" ht="15" customHeight="1" x14ac:dyDescent="0.2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row>
    <row r="493" spans="1:51" ht="15" customHeight="1" x14ac:dyDescent="0.2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row>
    <row r="494" spans="1:51" ht="15" customHeight="1" x14ac:dyDescent="0.2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row>
    <row r="495" spans="1:51" ht="15" customHeight="1" x14ac:dyDescent="0.2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row>
    <row r="496" spans="1:51" ht="15" customHeight="1" x14ac:dyDescent="0.2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row>
    <row r="497" spans="1:51" ht="15" customHeight="1" x14ac:dyDescent="0.2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row>
    <row r="498" spans="1:51" ht="15" customHeight="1" x14ac:dyDescent="0.2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row>
    <row r="499" spans="1:51" ht="15" customHeight="1" x14ac:dyDescent="0.2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row>
    <row r="500" spans="1:51" ht="15" customHeight="1" x14ac:dyDescent="0.2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row>
    <row r="501" spans="1:51" ht="15" customHeight="1" x14ac:dyDescent="0.2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row>
    <row r="502" spans="1:51" ht="15" customHeight="1" x14ac:dyDescent="0.2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row>
    <row r="503" spans="1:51" ht="15" customHeight="1" x14ac:dyDescent="0.2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row>
    <row r="504" spans="1:51" ht="15" customHeight="1" x14ac:dyDescent="0.2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row>
    <row r="505" spans="1:51" ht="15" customHeight="1" x14ac:dyDescent="0.2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row>
    <row r="506" spans="1:51" ht="15" customHeight="1" x14ac:dyDescent="0.2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row>
    <row r="507" spans="1:51" ht="15" customHeight="1" x14ac:dyDescent="0.2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row>
    <row r="508" spans="1:51" ht="15" customHeight="1" x14ac:dyDescent="0.2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row>
    <row r="509" spans="1:51" ht="15" customHeight="1" x14ac:dyDescent="0.2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row>
    <row r="510" spans="1:51" ht="15" customHeight="1" x14ac:dyDescent="0.2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row>
    <row r="511" spans="1:51" ht="15" customHeight="1" x14ac:dyDescent="0.2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row>
    <row r="512" spans="1:51" ht="15" customHeight="1" x14ac:dyDescent="0.2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row>
    <row r="513" spans="1:51" ht="15" customHeight="1" x14ac:dyDescent="0.2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row>
    <row r="514" spans="1:51" ht="15" customHeight="1" x14ac:dyDescent="0.2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row>
    <row r="515" spans="1:51" ht="15" customHeight="1" x14ac:dyDescent="0.2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row>
    <row r="516" spans="1:51" ht="15" customHeight="1" x14ac:dyDescent="0.2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row>
    <row r="517" spans="1:51" ht="15" customHeight="1" x14ac:dyDescent="0.2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row>
    <row r="518" spans="1:51" ht="15" customHeight="1" x14ac:dyDescent="0.2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row>
    <row r="519" spans="1:51" ht="15" customHeight="1" x14ac:dyDescent="0.2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row>
    <row r="520" spans="1:51" ht="15" customHeight="1" x14ac:dyDescent="0.2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row>
    <row r="521" spans="1:51" ht="15" customHeight="1" x14ac:dyDescent="0.2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row>
    <row r="522" spans="1:51" ht="15" customHeight="1" x14ac:dyDescent="0.2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row>
    <row r="523" spans="1:51" ht="15" customHeight="1" x14ac:dyDescent="0.2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row>
    <row r="524" spans="1:51" ht="15" customHeight="1" x14ac:dyDescent="0.2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row>
    <row r="525" spans="1:51" ht="15" customHeight="1" x14ac:dyDescent="0.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row>
    <row r="526" spans="1:51" ht="15" customHeight="1" x14ac:dyDescent="0.2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row>
    <row r="527" spans="1:51" ht="15" customHeight="1" x14ac:dyDescent="0.2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row>
    <row r="528" spans="1:51" ht="15" customHeight="1" x14ac:dyDescent="0.2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row>
    <row r="529" spans="1:51" ht="15" customHeight="1" x14ac:dyDescent="0.2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row>
    <row r="530" spans="1:51" ht="15" customHeight="1" x14ac:dyDescent="0.2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row>
    <row r="531" spans="1:51" ht="15" customHeight="1" x14ac:dyDescent="0.2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row>
    <row r="532" spans="1:51" ht="15" customHeight="1" x14ac:dyDescent="0.2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row>
    <row r="533" spans="1:51" ht="15" customHeight="1" x14ac:dyDescent="0.2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row>
    <row r="534" spans="1:51" ht="15" customHeight="1" x14ac:dyDescent="0.2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row>
    <row r="535" spans="1:51" ht="15" customHeight="1" x14ac:dyDescent="0.2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row>
    <row r="536" spans="1:51" ht="15" customHeight="1" x14ac:dyDescent="0.2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row>
    <row r="537" spans="1:51" ht="15" customHeight="1" x14ac:dyDescent="0.2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row>
    <row r="538" spans="1:51" ht="15" customHeight="1" x14ac:dyDescent="0.2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row>
    <row r="539" spans="1:51" ht="15" customHeight="1" x14ac:dyDescent="0.2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row>
    <row r="540" spans="1:51" ht="15" customHeight="1" x14ac:dyDescent="0.2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row>
    <row r="541" spans="1:51" ht="15" customHeight="1" x14ac:dyDescent="0.2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row>
    <row r="542" spans="1:51" ht="15" customHeight="1" x14ac:dyDescent="0.2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row>
    <row r="543" spans="1:51" ht="15" customHeight="1" x14ac:dyDescent="0.2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row>
    <row r="544" spans="1:51" ht="15" customHeight="1" x14ac:dyDescent="0.2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row>
    <row r="545" spans="1:51" ht="15" customHeight="1" x14ac:dyDescent="0.2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row>
    <row r="546" spans="1:51" ht="15" customHeight="1" x14ac:dyDescent="0.2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row>
    <row r="547" spans="1:51" ht="15" customHeight="1" x14ac:dyDescent="0.2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row>
    <row r="548" spans="1:51" ht="15" customHeight="1" x14ac:dyDescent="0.2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row>
    <row r="549" spans="1:51" ht="15" customHeight="1" x14ac:dyDescent="0.2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row>
    <row r="550" spans="1:51" ht="15" customHeight="1" x14ac:dyDescent="0.2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row>
    <row r="551" spans="1:51" ht="15" customHeight="1" x14ac:dyDescent="0.2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row>
    <row r="552" spans="1:51" ht="15" customHeight="1" x14ac:dyDescent="0.2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row>
    <row r="553" spans="1:51" ht="15" customHeight="1" x14ac:dyDescent="0.2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row>
    <row r="554" spans="1:51" ht="15" customHeight="1" x14ac:dyDescent="0.2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row>
    <row r="555" spans="1:51" ht="15" customHeight="1" x14ac:dyDescent="0.2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row>
    <row r="556" spans="1:51" ht="15" customHeight="1" x14ac:dyDescent="0.2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row>
    <row r="557" spans="1:51" ht="15" customHeight="1" x14ac:dyDescent="0.2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row>
    <row r="558" spans="1:51" ht="15" customHeight="1" x14ac:dyDescent="0.2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row>
    <row r="559" spans="1:51" ht="15" customHeight="1" x14ac:dyDescent="0.2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row>
    <row r="560" spans="1:51" ht="15" customHeight="1" x14ac:dyDescent="0.2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row>
    <row r="561" spans="1:51" ht="15" customHeight="1" x14ac:dyDescent="0.2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row>
    <row r="562" spans="1:51" ht="15" customHeight="1" x14ac:dyDescent="0.2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row>
    <row r="563" spans="1:51" ht="15" customHeight="1" x14ac:dyDescent="0.2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row>
    <row r="564" spans="1:51" ht="15" customHeight="1" x14ac:dyDescent="0.2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row>
    <row r="565" spans="1:51" ht="15" customHeight="1" x14ac:dyDescent="0.2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row>
    <row r="566" spans="1:51" ht="15" customHeight="1" x14ac:dyDescent="0.2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row>
    <row r="567" spans="1:51" ht="15" customHeight="1" x14ac:dyDescent="0.2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row>
    <row r="568" spans="1:51" ht="15" customHeight="1" x14ac:dyDescent="0.2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row>
    <row r="569" spans="1:51" ht="15" customHeight="1" x14ac:dyDescent="0.2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row>
    <row r="570" spans="1:51" ht="15" customHeight="1" x14ac:dyDescent="0.2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row>
    <row r="571" spans="1:51" ht="15" customHeight="1" x14ac:dyDescent="0.2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row>
    <row r="572" spans="1:51" ht="15" customHeight="1" x14ac:dyDescent="0.2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row>
    <row r="573" spans="1:51" ht="15" customHeight="1" x14ac:dyDescent="0.2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row>
    <row r="574" spans="1:51" ht="15" customHeight="1" x14ac:dyDescent="0.2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row>
    <row r="575" spans="1:51" ht="15" customHeight="1" x14ac:dyDescent="0.2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row>
    <row r="576" spans="1:51" ht="15" customHeight="1" x14ac:dyDescent="0.2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row>
    <row r="577" spans="1:51" ht="15" customHeight="1" x14ac:dyDescent="0.2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row>
    <row r="578" spans="1:51" ht="15" customHeight="1" x14ac:dyDescent="0.2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row>
    <row r="579" spans="1:51" ht="15" customHeight="1" x14ac:dyDescent="0.2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row>
    <row r="580" spans="1:51" ht="15" customHeight="1" x14ac:dyDescent="0.2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row>
    <row r="581" spans="1:51" ht="15" customHeight="1" x14ac:dyDescent="0.2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row>
    <row r="582" spans="1:51" ht="15" customHeight="1" x14ac:dyDescent="0.2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row>
    <row r="583" spans="1:51" ht="15" customHeight="1" x14ac:dyDescent="0.2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row>
    <row r="584" spans="1:51" ht="15" customHeight="1" x14ac:dyDescent="0.2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row>
    <row r="585" spans="1:51" ht="15" customHeight="1" x14ac:dyDescent="0.2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row>
    <row r="586" spans="1:51" ht="15" customHeight="1" x14ac:dyDescent="0.2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row>
    <row r="587" spans="1:51" ht="15" customHeight="1" x14ac:dyDescent="0.2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row>
    <row r="588" spans="1:51" ht="15" customHeight="1" x14ac:dyDescent="0.2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row>
    <row r="589" spans="1:51" ht="15" customHeight="1" x14ac:dyDescent="0.2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row>
    <row r="590" spans="1:51" ht="15" customHeight="1" x14ac:dyDescent="0.2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row>
    <row r="591" spans="1:51" ht="15" customHeight="1" x14ac:dyDescent="0.2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row>
    <row r="592" spans="1:51" ht="15" customHeight="1" x14ac:dyDescent="0.2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row>
    <row r="593" spans="1:51" ht="15" customHeight="1" x14ac:dyDescent="0.2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row>
    <row r="594" spans="1:51" ht="15" customHeight="1" x14ac:dyDescent="0.2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row>
    <row r="595" spans="1:51" ht="15" customHeight="1" x14ac:dyDescent="0.2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row>
    <row r="596" spans="1:51" ht="15" customHeight="1" x14ac:dyDescent="0.2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row>
    <row r="597" spans="1:51" ht="15" customHeight="1" x14ac:dyDescent="0.2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row>
    <row r="598" spans="1:51" ht="15" customHeight="1" x14ac:dyDescent="0.2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row>
    <row r="599" spans="1:51" ht="15" customHeight="1" x14ac:dyDescent="0.2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row>
    <row r="600" spans="1:51" ht="15" customHeight="1" x14ac:dyDescent="0.2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row>
    <row r="601" spans="1:51" ht="15" customHeight="1" x14ac:dyDescent="0.2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row>
    <row r="602" spans="1:51" ht="15" customHeight="1" x14ac:dyDescent="0.2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row>
    <row r="603" spans="1:51" ht="15" customHeight="1" x14ac:dyDescent="0.2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row>
    <row r="604" spans="1:51" ht="15" customHeight="1" x14ac:dyDescent="0.2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row>
    <row r="605" spans="1:51" ht="15" customHeight="1" x14ac:dyDescent="0.2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row>
    <row r="606" spans="1:51" ht="15" customHeight="1" x14ac:dyDescent="0.2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row>
    <row r="607" spans="1:51" ht="15" customHeight="1" x14ac:dyDescent="0.2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row>
    <row r="608" spans="1:51" ht="15" customHeight="1" x14ac:dyDescent="0.2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row>
    <row r="609" spans="1:51" ht="15" customHeight="1" x14ac:dyDescent="0.2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row>
    <row r="610" spans="1:51" ht="15" customHeight="1" x14ac:dyDescent="0.2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row>
    <row r="611" spans="1:51" ht="15" customHeight="1" x14ac:dyDescent="0.2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row>
    <row r="612" spans="1:51" ht="15" customHeight="1" x14ac:dyDescent="0.2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row>
    <row r="613" spans="1:51" ht="15" customHeight="1" x14ac:dyDescent="0.2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row>
    <row r="614" spans="1:51" ht="15" customHeight="1" x14ac:dyDescent="0.2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row>
    <row r="615" spans="1:51" ht="15" customHeight="1" x14ac:dyDescent="0.2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row>
    <row r="616" spans="1:51" ht="15" customHeight="1" x14ac:dyDescent="0.2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row>
    <row r="617" spans="1:51" ht="15" customHeight="1" x14ac:dyDescent="0.2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row>
    <row r="618" spans="1:51" ht="15" customHeight="1" x14ac:dyDescent="0.2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row>
    <row r="619" spans="1:51" ht="15" customHeight="1" x14ac:dyDescent="0.2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row>
    <row r="620" spans="1:51" ht="15" customHeight="1" x14ac:dyDescent="0.2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row>
    <row r="621" spans="1:51" ht="15" customHeight="1" x14ac:dyDescent="0.2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row>
    <row r="622" spans="1:51" ht="15" customHeight="1" x14ac:dyDescent="0.2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row>
    <row r="623" spans="1:51" ht="15" customHeight="1" x14ac:dyDescent="0.2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row>
    <row r="624" spans="1:51" ht="15" customHeight="1" x14ac:dyDescent="0.2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row>
    <row r="625" spans="1:51" ht="15" customHeight="1" x14ac:dyDescent="0.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row>
    <row r="626" spans="1:51" ht="15" customHeight="1" x14ac:dyDescent="0.2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row>
    <row r="627" spans="1:51" ht="15" customHeight="1" x14ac:dyDescent="0.2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row>
    <row r="628" spans="1:51" ht="15" customHeight="1" x14ac:dyDescent="0.2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row>
    <row r="629" spans="1:51" ht="15" customHeight="1" x14ac:dyDescent="0.2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row>
    <row r="630" spans="1:51" ht="15" customHeight="1" x14ac:dyDescent="0.2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row>
    <row r="631" spans="1:51" ht="15" customHeight="1" x14ac:dyDescent="0.2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row>
    <row r="632" spans="1:51" ht="15" customHeight="1" x14ac:dyDescent="0.2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row>
    <row r="633" spans="1:51" ht="15" customHeight="1" x14ac:dyDescent="0.2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row>
    <row r="634" spans="1:51" ht="15" customHeight="1" x14ac:dyDescent="0.2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row>
    <row r="635" spans="1:51" ht="15" customHeight="1" x14ac:dyDescent="0.2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row>
    <row r="636" spans="1:51" ht="15" customHeight="1" x14ac:dyDescent="0.2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row>
    <row r="637" spans="1:51" ht="15" customHeight="1" x14ac:dyDescent="0.2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row>
    <row r="638" spans="1:51" ht="15" customHeight="1" x14ac:dyDescent="0.2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row>
    <row r="639" spans="1:51" ht="15" customHeight="1" x14ac:dyDescent="0.2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row>
    <row r="640" spans="1:51" ht="15" customHeight="1" x14ac:dyDescent="0.2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row>
    <row r="641" spans="1:51" ht="15" customHeight="1" x14ac:dyDescent="0.2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row>
    <row r="642" spans="1:51" ht="15" customHeight="1" x14ac:dyDescent="0.2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row>
    <row r="643" spans="1:51" ht="15" customHeight="1" x14ac:dyDescent="0.2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row>
    <row r="644" spans="1:51" ht="15" customHeight="1" x14ac:dyDescent="0.2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row>
    <row r="645" spans="1:51" ht="15" customHeight="1" x14ac:dyDescent="0.2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row>
    <row r="646" spans="1:51" ht="15" customHeight="1" x14ac:dyDescent="0.2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row>
    <row r="647" spans="1:51" ht="15" customHeight="1" x14ac:dyDescent="0.2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row>
    <row r="648" spans="1:51" ht="15" customHeight="1" x14ac:dyDescent="0.2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row>
    <row r="649" spans="1:51" ht="15" customHeight="1" x14ac:dyDescent="0.2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row>
    <row r="650" spans="1:51" ht="15" customHeight="1" x14ac:dyDescent="0.2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row>
    <row r="651" spans="1:51" ht="15" customHeight="1" x14ac:dyDescent="0.2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row>
    <row r="652" spans="1:51" ht="15" customHeight="1" x14ac:dyDescent="0.2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row>
    <row r="653" spans="1:51" ht="15" customHeight="1" x14ac:dyDescent="0.2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row>
    <row r="654" spans="1:51" ht="15" customHeight="1" x14ac:dyDescent="0.2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row>
    <row r="655" spans="1:51" ht="15" customHeight="1" x14ac:dyDescent="0.2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row>
    <row r="656" spans="1:51" ht="15" customHeight="1" x14ac:dyDescent="0.2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row>
    <row r="657" spans="1:51" ht="15" customHeight="1" x14ac:dyDescent="0.2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row>
    <row r="658" spans="1:51" ht="15" customHeight="1" x14ac:dyDescent="0.2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row>
    <row r="659" spans="1:51" ht="15" customHeight="1" x14ac:dyDescent="0.2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row>
    <row r="660" spans="1:51" ht="15" customHeight="1" x14ac:dyDescent="0.2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row>
    <row r="661" spans="1:51" ht="15" customHeight="1" x14ac:dyDescent="0.2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row>
    <row r="662" spans="1:51" ht="15" customHeight="1" x14ac:dyDescent="0.2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row>
    <row r="663" spans="1:51" ht="15" customHeight="1" x14ac:dyDescent="0.2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row>
    <row r="664" spans="1:51" ht="15" customHeight="1" x14ac:dyDescent="0.2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row>
    <row r="665" spans="1:51" ht="15" customHeight="1" x14ac:dyDescent="0.2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row>
    <row r="666" spans="1:51" ht="15" customHeight="1" x14ac:dyDescent="0.2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row>
    <row r="667" spans="1:51" ht="15" customHeight="1" x14ac:dyDescent="0.2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row>
    <row r="668" spans="1:51" ht="15" customHeight="1" x14ac:dyDescent="0.2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row>
    <row r="669" spans="1:51" ht="15" customHeight="1" x14ac:dyDescent="0.2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row>
    <row r="670" spans="1:51" ht="15" customHeight="1" x14ac:dyDescent="0.2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row>
    <row r="671" spans="1:51" ht="15" customHeight="1" x14ac:dyDescent="0.2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row>
    <row r="672" spans="1:51" ht="15" customHeight="1" x14ac:dyDescent="0.2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row>
    <row r="673" spans="1:51" ht="15" customHeight="1" x14ac:dyDescent="0.2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row>
    <row r="674" spans="1:51" ht="15" customHeight="1" x14ac:dyDescent="0.2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row>
    <row r="675" spans="1:51" ht="15" customHeight="1" x14ac:dyDescent="0.2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row>
    <row r="676" spans="1:51" ht="15" customHeight="1" x14ac:dyDescent="0.2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row>
    <row r="677" spans="1:51" ht="15" customHeight="1" x14ac:dyDescent="0.2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row>
    <row r="678" spans="1:51" ht="15" customHeight="1" x14ac:dyDescent="0.2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row>
    <row r="679" spans="1:51" ht="15" customHeight="1" x14ac:dyDescent="0.2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row>
    <row r="680" spans="1:51" ht="15" customHeight="1" x14ac:dyDescent="0.2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row>
    <row r="681" spans="1:51" ht="15" customHeight="1" x14ac:dyDescent="0.2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row>
    <row r="682" spans="1:51" ht="15" customHeight="1" x14ac:dyDescent="0.2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row>
    <row r="683" spans="1:51" ht="15" customHeight="1" x14ac:dyDescent="0.2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row>
    <row r="684" spans="1:51" ht="15" customHeight="1" x14ac:dyDescent="0.2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row>
    <row r="685" spans="1:51" ht="15" customHeight="1" x14ac:dyDescent="0.2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row>
    <row r="686" spans="1:51" ht="15" customHeight="1" x14ac:dyDescent="0.2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row>
    <row r="687" spans="1:51" ht="15" customHeight="1" x14ac:dyDescent="0.2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row>
    <row r="688" spans="1:51" ht="15" customHeight="1" x14ac:dyDescent="0.2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row>
    <row r="689" spans="1:51" ht="15" customHeight="1" x14ac:dyDescent="0.2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row>
    <row r="690" spans="1:51" ht="15" customHeight="1" x14ac:dyDescent="0.2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row>
    <row r="691" spans="1:51" ht="15" customHeight="1" x14ac:dyDescent="0.2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row>
    <row r="692" spans="1:51" ht="15" customHeight="1" x14ac:dyDescent="0.2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row>
    <row r="693" spans="1:51" ht="15" customHeight="1" x14ac:dyDescent="0.2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row>
    <row r="694" spans="1:51" ht="15" customHeight="1" x14ac:dyDescent="0.25">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row>
    <row r="695" spans="1:51" ht="15" customHeight="1" x14ac:dyDescent="0.2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row>
    <row r="696" spans="1:51" ht="15" customHeight="1" x14ac:dyDescent="0.25">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row>
    <row r="697" spans="1:51" ht="15" customHeight="1" x14ac:dyDescent="0.25">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row>
    <row r="698" spans="1:51" ht="15" customHeight="1" x14ac:dyDescent="0.25">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row>
    <row r="699" spans="1:51" ht="15" customHeight="1" x14ac:dyDescent="0.25">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row>
    <row r="700" spans="1:51" ht="15" customHeight="1" x14ac:dyDescent="0.25">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row>
    <row r="701" spans="1:51" ht="15" customHeight="1" x14ac:dyDescent="0.25">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row>
    <row r="702" spans="1:51" ht="15" customHeight="1" x14ac:dyDescent="0.25">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row>
    <row r="703" spans="1:51" ht="15" customHeight="1" x14ac:dyDescent="0.25">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row>
    <row r="704" spans="1:51" ht="15" customHeight="1" x14ac:dyDescent="0.25">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row>
    <row r="705" spans="1:51" ht="15" customHeight="1" x14ac:dyDescent="0.2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row>
    <row r="706" spans="1:51" ht="15" customHeight="1" x14ac:dyDescent="0.25">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row>
    <row r="707" spans="1:51" ht="15" customHeight="1" x14ac:dyDescent="0.25">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row>
    <row r="708" spans="1:51" ht="15" customHeight="1" x14ac:dyDescent="0.25">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row>
    <row r="709" spans="1:51" ht="15" customHeight="1" x14ac:dyDescent="0.25">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row>
    <row r="710" spans="1:51" ht="15" customHeight="1" x14ac:dyDescent="0.25">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row>
    <row r="711" spans="1:51" ht="15" customHeight="1" x14ac:dyDescent="0.25">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row>
    <row r="712" spans="1:51" ht="15" customHeight="1" x14ac:dyDescent="0.25">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row>
    <row r="713" spans="1:51" ht="15" customHeight="1" x14ac:dyDescent="0.25">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row>
    <row r="714" spans="1:51" ht="15" customHeight="1" x14ac:dyDescent="0.25">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row>
    <row r="715" spans="1:51" ht="15" customHeight="1" x14ac:dyDescent="0.2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row>
    <row r="716" spans="1:51" ht="15" customHeight="1" x14ac:dyDescent="0.25">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row>
    <row r="717" spans="1:51" ht="15" customHeight="1" x14ac:dyDescent="0.25">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row>
    <row r="718" spans="1:51" ht="15" customHeight="1" x14ac:dyDescent="0.25">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row>
    <row r="719" spans="1:51" ht="15" customHeight="1" x14ac:dyDescent="0.25">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row>
    <row r="720" spans="1:51" ht="15" customHeight="1" x14ac:dyDescent="0.25">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row>
    <row r="721" spans="1:51" ht="15" customHeight="1" x14ac:dyDescent="0.25">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row>
    <row r="722" spans="1:51" ht="15" customHeight="1" x14ac:dyDescent="0.25">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row>
    <row r="723" spans="1:51" ht="15" customHeight="1" x14ac:dyDescent="0.25">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row>
    <row r="724" spans="1:51" ht="15" customHeight="1" x14ac:dyDescent="0.25">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row>
    <row r="725" spans="1:51" ht="15" customHeight="1" x14ac:dyDescent="0.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row>
    <row r="726" spans="1:51" ht="15" customHeight="1" x14ac:dyDescent="0.25">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row>
    <row r="727" spans="1:51" ht="15" customHeight="1" x14ac:dyDescent="0.25">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row>
    <row r="728" spans="1:51" ht="15" customHeight="1" x14ac:dyDescent="0.25">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row>
    <row r="729" spans="1:51" ht="15" customHeight="1" x14ac:dyDescent="0.25">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row>
    <row r="730" spans="1:51" ht="15" customHeight="1" x14ac:dyDescent="0.25">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row>
    <row r="731" spans="1:51" ht="15" customHeight="1" x14ac:dyDescent="0.25">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row>
    <row r="732" spans="1:51" ht="15" customHeight="1" x14ac:dyDescent="0.25">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row>
    <row r="733" spans="1:51" ht="15" customHeight="1" x14ac:dyDescent="0.25">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row>
    <row r="734" spans="1:51" ht="15" customHeight="1" x14ac:dyDescent="0.25">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row>
    <row r="735" spans="1:51" ht="15" customHeight="1" x14ac:dyDescent="0.2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row>
    <row r="736" spans="1:51" ht="15" customHeight="1" x14ac:dyDescent="0.25">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row>
    <row r="737" spans="1:51" ht="15" customHeight="1" x14ac:dyDescent="0.25">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row>
    <row r="738" spans="1:51" ht="15" customHeight="1" x14ac:dyDescent="0.25">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row>
    <row r="739" spans="1:51" ht="15" customHeight="1" x14ac:dyDescent="0.25">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row>
    <row r="740" spans="1:51" ht="15" customHeight="1" x14ac:dyDescent="0.25">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row>
    <row r="741" spans="1:51" ht="15" customHeight="1" x14ac:dyDescent="0.25">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row>
    <row r="742" spans="1:51" ht="15" customHeight="1" x14ac:dyDescent="0.25">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row>
    <row r="743" spans="1:51" ht="15" customHeight="1" x14ac:dyDescent="0.25">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row>
    <row r="744" spans="1:51" ht="15" customHeight="1" x14ac:dyDescent="0.25">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row>
    <row r="745" spans="1:51" ht="15" customHeight="1" x14ac:dyDescent="0.2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row>
    <row r="746" spans="1:51" ht="15" customHeight="1" x14ac:dyDescent="0.25">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row>
    <row r="747" spans="1:51" ht="15" customHeight="1" x14ac:dyDescent="0.25">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row>
    <row r="748" spans="1:51" ht="15" customHeight="1" x14ac:dyDescent="0.25">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row>
    <row r="749" spans="1:51" ht="15" customHeight="1" x14ac:dyDescent="0.25">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row>
    <row r="750" spans="1:51" ht="15" customHeight="1" x14ac:dyDescent="0.25">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row>
    <row r="751" spans="1:51" ht="15" customHeight="1" x14ac:dyDescent="0.25">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row>
    <row r="752" spans="1:51" ht="15" customHeight="1" x14ac:dyDescent="0.25">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row>
    <row r="753" spans="1:51" ht="15" customHeight="1" x14ac:dyDescent="0.25">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row>
    <row r="754" spans="1:51" ht="15" customHeight="1" x14ac:dyDescent="0.25">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row>
    <row r="755" spans="1:51" ht="15" customHeight="1" x14ac:dyDescent="0.2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row>
    <row r="756" spans="1:51" ht="15" customHeight="1" x14ac:dyDescent="0.25">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row>
    <row r="757" spans="1:51" ht="15" customHeight="1" x14ac:dyDescent="0.25">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row>
    <row r="758" spans="1:51" ht="15" customHeight="1" x14ac:dyDescent="0.25">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row>
    <row r="759" spans="1:51" ht="15" customHeight="1" x14ac:dyDescent="0.25">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row>
    <row r="760" spans="1:51" ht="15" customHeight="1" x14ac:dyDescent="0.25">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row>
    <row r="761" spans="1:51" ht="15" customHeight="1" x14ac:dyDescent="0.25">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row>
    <row r="762" spans="1:51" ht="15" customHeight="1" x14ac:dyDescent="0.25">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row>
    <row r="763" spans="1:51" ht="15" customHeight="1" x14ac:dyDescent="0.25">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row>
    <row r="764" spans="1:51" ht="15" customHeight="1" x14ac:dyDescent="0.25">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row>
    <row r="765" spans="1:51" ht="15" customHeight="1" x14ac:dyDescent="0.2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row>
    <row r="766" spans="1:51" ht="15" customHeight="1" x14ac:dyDescent="0.25">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row>
    <row r="767" spans="1:51" ht="15" customHeight="1" x14ac:dyDescent="0.25">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row>
    <row r="768" spans="1:51" ht="15" customHeight="1" x14ac:dyDescent="0.25">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row>
    <row r="769" spans="1:51" ht="15" customHeight="1" x14ac:dyDescent="0.25">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row>
    <row r="770" spans="1:51" ht="15" customHeight="1" x14ac:dyDescent="0.25">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row>
    <row r="771" spans="1:51" ht="15" customHeight="1" x14ac:dyDescent="0.25">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row>
    <row r="772" spans="1:51" ht="15" customHeight="1" x14ac:dyDescent="0.25">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row>
    <row r="773" spans="1:51" ht="15" customHeight="1" x14ac:dyDescent="0.25">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row>
    <row r="774" spans="1:51" ht="15" customHeight="1" x14ac:dyDescent="0.25">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row>
    <row r="775" spans="1:51" ht="15" customHeight="1" x14ac:dyDescent="0.2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row>
    <row r="776" spans="1:51" ht="15" customHeight="1" x14ac:dyDescent="0.25">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row>
    <row r="777" spans="1:51" ht="15" customHeight="1" x14ac:dyDescent="0.25">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row>
    <row r="778" spans="1:51" ht="15" customHeight="1" x14ac:dyDescent="0.25">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row>
    <row r="779" spans="1:51" ht="15" customHeight="1" x14ac:dyDescent="0.25">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row>
    <row r="780" spans="1:51" ht="15" customHeight="1" x14ac:dyDescent="0.25">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row>
    <row r="781" spans="1:51" ht="15" customHeight="1" x14ac:dyDescent="0.25">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row>
    <row r="782" spans="1:51" ht="15" customHeight="1" x14ac:dyDescent="0.25">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row>
    <row r="783" spans="1:51" ht="15" customHeight="1" x14ac:dyDescent="0.25">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row>
    <row r="784" spans="1:51" ht="15" customHeight="1" x14ac:dyDescent="0.25">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row>
    <row r="785" spans="1:51" ht="15" customHeight="1" x14ac:dyDescent="0.2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row>
    <row r="786" spans="1:51" ht="15" customHeight="1" x14ac:dyDescent="0.25">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row>
    <row r="787" spans="1:51" ht="15" customHeight="1" x14ac:dyDescent="0.25">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row>
    <row r="788" spans="1:51" ht="15" customHeight="1" x14ac:dyDescent="0.25">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row>
    <row r="789" spans="1:51" ht="15" customHeight="1" x14ac:dyDescent="0.25">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row>
    <row r="790" spans="1:51" ht="15" customHeight="1" x14ac:dyDescent="0.25">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row>
    <row r="791" spans="1:51" ht="15" customHeight="1" x14ac:dyDescent="0.25">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row>
    <row r="792" spans="1:51" ht="15" customHeight="1" x14ac:dyDescent="0.25">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row>
    <row r="793" spans="1:51" ht="15" customHeight="1" x14ac:dyDescent="0.25">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row>
    <row r="794" spans="1:51" ht="15" customHeight="1" x14ac:dyDescent="0.25">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row>
    <row r="795" spans="1:51" ht="15" customHeight="1" x14ac:dyDescent="0.2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row>
    <row r="796" spans="1:51" ht="15" customHeight="1" x14ac:dyDescent="0.25">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row>
    <row r="797" spans="1:51" ht="15" customHeight="1" x14ac:dyDescent="0.25">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row>
    <row r="798" spans="1:51" ht="15" customHeight="1" x14ac:dyDescent="0.25">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row>
    <row r="799" spans="1:51" ht="15" customHeight="1" x14ac:dyDescent="0.25">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row>
    <row r="800" spans="1:51" ht="15" customHeight="1" x14ac:dyDescent="0.25">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row>
    <row r="801" spans="1:51" ht="15" customHeight="1" x14ac:dyDescent="0.25">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row>
    <row r="802" spans="1:51" ht="15" customHeight="1" x14ac:dyDescent="0.25">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row>
    <row r="803" spans="1:51" ht="15" customHeight="1" x14ac:dyDescent="0.25">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row>
    <row r="804" spans="1:51" ht="15" customHeight="1" x14ac:dyDescent="0.25">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row>
    <row r="805" spans="1:51" ht="15" customHeight="1" x14ac:dyDescent="0.2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row>
    <row r="806" spans="1:51" ht="15" customHeight="1" x14ac:dyDescent="0.25">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row>
    <row r="807" spans="1:51" ht="15" customHeight="1" x14ac:dyDescent="0.25">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row>
    <row r="808" spans="1:51" ht="15" customHeight="1" x14ac:dyDescent="0.2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row>
    <row r="809" spans="1:51" ht="15" customHeight="1" x14ac:dyDescent="0.2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row>
    <row r="810" spans="1:51" ht="15" customHeight="1" x14ac:dyDescent="0.2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row>
    <row r="811" spans="1:51" ht="15" customHeight="1" x14ac:dyDescent="0.2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row>
    <row r="812" spans="1:51" ht="15" customHeight="1" x14ac:dyDescent="0.2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row>
    <row r="813" spans="1:51" ht="15" customHeight="1" x14ac:dyDescent="0.2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row>
    <row r="814" spans="1:51" ht="15" customHeight="1" x14ac:dyDescent="0.2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row>
    <row r="815" spans="1:51" ht="15" customHeight="1" x14ac:dyDescent="0.2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row>
    <row r="816" spans="1:51" ht="15" customHeight="1" x14ac:dyDescent="0.2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row>
    <row r="817" spans="1:51" ht="15" customHeight="1" x14ac:dyDescent="0.2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row>
    <row r="818" spans="1:51" ht="15" customHeight="1" x14ac:dyDescent="0.2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row>
    <row r="819" spans="1:51" ht="15" customHeight="1" x14ac:dyDescent="0.2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row>
    <row r="820" spans="1:51" ht="15" customHeight="1" x14ac:dyDescent="0.2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row>
    <row r="821" spans="1:51" ht="15" customHeight="1" x14ac:dyDescent="0.2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row>
    <row r="822" spans="1:51" ht="15" customHeight="1" x14ac:dyDescent="0.2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row>
    <row r="823" spans="1:51" ht="15" customHeight="1" x14ac:dyDescent="0.2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row>
    <row r="824" spans="1:51" ht="15" customHeight="1" x14ac:dyDescent="0.2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row>
    <row r="825" spans="1:51" ht="15" customHeight="1" x14ac:dyDescent="0.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row>
    <row r="826" spans="1:51" ht="15" customHeight="1" x14ac:dyDescent="0.2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row>
    <row r="827" spans="1:51" ht="15" customHeight="1" x14ac:dyDescent="0.2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row>
    <row r="828" spans="1:51" ht="15" customHeight="1" x14ac:dyDescent="0.2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row>
    <row r="829" spans="1:51" ht="15" customHeight="1" x14ac:dyDescent="0.2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row>
    <row r="830" spans="1:51" ht="15" customHeight="1" x14ac:dyDescent="0.2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row>
    <row r="831" spans="1:51" ht="15" customHeight="1" x14ac:dyDescent="0.2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row>
    <row r="832" spans="1:51" ht="15" customHeight="1" x14ac:dyDescent="0.2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row>
    <row r="833" spans="1:51" ht="15" customHeight="1" x14ac:dyDescent="0.2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row>
    <row r="834" spans="1:51" ht="15" customHeight="1" x14ac:dyDescent="0.2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row>
    <row r="835" spans="1:51" ht="15" customHeight="1" x14ac:dyDescent="0.2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row>
    <row r="836" spans="1:51" ht="15" customHeight="1" x14ac:dyDescent="0.2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row>
    <row r="837" spans="1:51" ht="15" customHeight="1" x14ac:dyDescent="0.2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row>
    <row r="838" spans="1:51" ht="15" customHeight="1" x14ac:dyDescent="0.2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row>
    <row r="839" spans="1:51" ht="15" customHeight="1" x14ac:dyDescent="0.2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row>
    <row r="840" spans="1:51" ht="15" customHeight="1" x14ac:dyDescent="0.2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row>
    <row r="841" spans="1:51" ht="15" customHeight="1" x14ac:dyDescent="0.2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row>
    <row r="842" spans="1:51" ht="15" customHeight="1" x14ac:dyDescent="0.2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row>
    <row r="843" spans="1:51" ht="15" customHeight="1" x14ac:dyDescent="0.2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row>
    <row r="844" spans="1:51" ht="15" customHeight="1" x14ac:dyDescent="0.2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row>
    <row r="845" spans="1:51" ht="15" customHeight="1" x14ac:dyDescent="0.2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row>
    <row r="846" spans="1:51" ht="15" customHeight="1" x14ac:dyDescent="0.2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row>
    <row r="847" spans="1:51" ht="15" customHeight="1" x14ac:dyDescent="0.2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row>
    <row r="848" spans="1:51" ht="15" customHeight="1" x14ac:dyDescent="0.2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row>
    <row r="849" spans="1:51" ht="15" customHeight="1" x14ac:dyDescent="0.2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row>
    <row r="850" spans="1:51" ht="15" customHeight="1" x14ac:dyDescent="0.2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row>
    <row r="851" spans="1:51" ht="15" customHeight="1" x14ac:dyDescent="0.2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row>
    <row r="852" spans="1:51" ht="15" customHeight="1" x14ac:dyDescent="0.2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row>
    <row r="853" spans="1:51" ht="15" customHeight="1" x14ac:dyDescent="0.2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row>
    <row r="854" spans="1:51" ht="15" customHeight="1" x14ac:dyDescent="0.2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row>
    <row r="855" spans="1:51" ht="15" customHeight="1" x14ac:dyDescent="0.2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row>
    <row r="856" spans="1:51" ht="15" customHeight="1" x14ac:dyDescent="0.2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row>
    <row r="857" spans="1:51" ht="15" customHeight="1" x14ac:dyDescent="0.2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row>
    <row r="858" spans="1:51" ht="15" customHeight="1" x14ac:dyDescent="0.2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row>
    <row r="859" spans="1:51" ht="15" customHeight="1" x14ac:dyDescent="0.2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row>
    <row r="860" spans="1:51" ht="15" customHeight="1" x14ac:dyDescent="0.2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row>
    <row r="861" spans="1:51" ht="15" customHeight="1" x14ac:dyDescent="0.2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row>
    <row r="862" spans="1:51" ht="15" customHeight="1" x14ac:dyDescent="0.2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row>
    <row r="863" spans="1:51" ht="15" customHeight="1" x14ac:dyDescent="0.2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row>
    <row r="864" spans="1:51" ht="15" customHeight="1" x14ac:dyDescent="0.2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row>
    <row r="865" spans="1:51" ht="15" customHeight="1" x14ac:dyDescent="0.2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row>
    <row r="866" spans="1:51" ht="15" customHeight="1" x14ac:dyDescent="0.2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row>
    <row r="867" spans="1:51" ht="15" customHeight="1" x14ac:dyDescent="0.2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row>
    <row r="868" spans="1:51" ht="15" customHeight="1" x14ac:dyDescent="0.2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row>
    <row r="869" spans="1:51" ht="15" customHeight="1" x14ac:dyDescent="0.2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row>
    <row r="870" spans="1:51" ht="15" customHeight="1" x14ac:dyDescent="0.2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row>
    <row r="871" spans="1:51" ht="15" customHeight="1" x14ac:dyDescent="0.2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row>
    <row r="872" spans="1:51" ht="15" customHeight="1" x14ac:dyDescent="0.2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row>
    <row r="873" spans="1:51" ht="15" customHeight="1" x14ac:dyDescent="0.2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row>
    <row r="874" spans="1:51" ht="15" customHeight="1" x14ac:dyDescent="0.2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row>
    <row r="875" spans="1:51" ht="15" customHeight="1" x14ac:dyDescent="0.2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row>
    <row r="876" spans="1:51" ht="15" customHeight="1" x14ac:dyDescent="0.2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row>
    <row r="877" spans="1:51" ht="15" customHeight="1" x14ac:dyDescent="0.2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row>
    <row r="878" spans="1:51" ht="15" customHeight="1" x14ac:dyDescent="0.2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row>
    <row r="879" spans="1:51" ht="15" customHeight="1" x14ac:dyDescent="0.2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row>
    <row r="880" spans="1:51" ht="15" customHeight="1" x14ac:dyDescent="0.2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row>
    <row r="881" spans="1:51" ht="15" customHeight="1" x14ac:dyDescent="0.2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row>
    <row r="882" spans="1:51" ht="15" customHeight="1" x14ac:dyDescent="0.2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row>
    <row r="883" spans="1:51" ht="15" customHeight="1" x14ac:dyDescent="0.2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row>
    <row r="884" spans="1:51" ht="15" customHeight="1" x14ac:dyDescent="0.2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row>
    <row r="885" spans="1:51" ht="15" customHeight="1" x14ac:dyDescent="0.2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row>
    <row r="886" spans="1:51" ht="15" customHeight="1" x14ac:dyDescent="0.2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row>
    <row r="887" spans="1:51" ht="15" customHeight="1" x14ac:dyDescent="0.2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row>
    <row r="888" spans="1:51" ht="15" customHeight="1" x14ac:dyDescent="0.2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row>
    <row r="889" spans="1:51" ht="15" customHeight="1" x14ac:dyDescent="0.2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row>
    <row r="890" spans="1:51" ht="15" customHeight="1" x14ac:dyDescent="0.2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row>
    <row r="891" spans="1:51" ht="15" customHeight="1" x14ac:dyDescent="0.2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row>
    <row r="892" spans="1:51" ht="15" customHeight="1" x14ac:dyDescent="0.2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row>
    <row r="893" spans="1:51" ht="15" customHeight="1" x14ac:dyDescent="0.2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row>
    <row r="894" spans="1:51" ht="15" customHeight="1" x14ac:dyDescent="0.2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row>
    <row r="895" spans="1:51" ht="15" customHeight="1" x14ac:dyDescent="0.2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row>
    <row r="896" spans="1:51" ht="15" customHeight="1" x14ac:dyDescent="0.2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row>
    <row r="897" spans="1:51" ht="15" customHeight="1" x14ac:dyDescent="0.2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row>
    <row r="898" spans="1:51" ht="15" customHeight="1" x14ac:dyDescent="0.2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row>
    <row r="899" spans="1:51" ht="15" customHeight="1" x14ac:dyDescent="0.2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row>
    <row r="900" spans="1:51" ht="15" customHeight="1" x14ac:dyDescent="0.2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row>
    <row r="901" spans="1:51" ht="15" customHeight="1" x14ac:dyDescent="0.2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row>
    <row r="902" spans="1:51" ht="15" customHeight="1" x14ac:dyDescent="0.2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row>
    <row r="903" spans="1:51" ht="15" customHeight="1" x14ac:dyDescent="0.2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row>
    <row r="904" spans="1:51" ht="15" customHeight="1" x14ac:dyDescent="0.2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row>
    <row r="905" spans="1:51" ht="15" customHeight="1" x14ac:dyDescent="0.2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row>
    <row r="906" spans="1:51" ht="15" customHeight="1" x14ac:dyDescent="0.2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row>
    <row r="907" spans="1:51" ht="15" customHeight="1" x14ac:dyDescent="0.2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row>
    <row r="908" spans="1:51" ht="15" customHeight="1" x14ac:dyDescent="0.2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row>
    <row r="909" spans="1:51" ht="15" customHeight="1" x14ac:dyDescent="0.2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row>
    <row r="910" spans="1:51" ht="15" customHeight="1" x14ac:dyDescent="0.2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row>
    <row r="911" spans="1:51" ht="15" customHeight="1" x14ac:dyDescent="0.2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row>
    <row r="912" spans="1:51" ht="15" customHeight="1" x14ac:dyDescent="0.2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row>
    <row r="913" spans="1:51" ht="15" customHeight="1" x14ac:dyDescent="0.2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row>
    <row r="914" spans="1:51" ht="15" customHeight="1" x14ac:dyDescent="0.2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row>
    <row r="915" spans="1:51" ht="15" customHeight="1" x14ac:dyDescent="0.2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row>
    <row r="916" spans="1:51" ht="15" customHeight="1" x14ac:dyDescent="0.2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row>
    <row r="917" spans="1:51" ht="15" customHeight="1" x14ac:dyDescent="0.2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row>
    <row r="918" spans="1:51" ht="15" customHeight="1" x14ac:dyDescent="0.2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row>
    <row r="919" spans="1:51" ht="15" customHeight="1" x14ac:dyDescent="0.2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row>
    <row r="920" spans="1:51" ht="15" customHeight="1" x14ac:dyDescent="0.2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row>
    <row r="921" spans="1:51" ht="15" customHeight="1" x14ac:dyDescent="0.2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row>
    <row r="922" spans="1:51" ht="15" customHeight="1" x14ac:dyDescent="0.2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row>
    <row r="923" spans="1:51" ht="15" customHeight="1" x14ac:dyDescent="0.2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row>
    <row r="924" spans="1:51" ht="15" customHeight="1" x14ac:dyDescent="0.2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row>
    <row r="925" spans="1:51" ht="15" customHeight="1" x14ac:dyDescent="0.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row>
    <row r="926" spans="1:51" ht="15" customHeight="1" x14ac:dyDescent="0.2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row>
    <row r="927" spans="1:51" ht="15" customHeight="1" x14ac:dyDescent="0.2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row>
    <row r="928" spans="1:51" ht="15" customHeight="1" x14ac:dyDescent="0.2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row>
    <row r="929" spans="1:51" ht="15" customHeight="1" x14ac:dyDescent="0.2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row>
    <row r="930" spans="1:51" ht="15" customHeight="1" x14ac:dyDescent="0.2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row>
    <row r="931" spans="1:51" ht="15" customHeight="1" x14ac:dyDescent="0.2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row>
    <row r="932" spans="1:51" ht="15" customHeight="1" x14ac:dyDescent="0.2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row>
    <row r="933" spans="1:51" ht="15" customHeight="1" x14ac:dyDescent="0.2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row>
    <row r="934" spans="1:51" ht="15" customHeight="1" x14ac:dyDescent="0.2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row>
    <row r="935" spans="1:51" ht="15" customHeight="1" x14ac:dyDescent="0.2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row>
    <row r="936" spans="1:51" ht="15" customHeight="1" x14ac:dyDescent="0.2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row>
    <row r="937" spans="1:51" ht="15" customHeight="1" x14ac:dyDescent="0.2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row>
    <row r="938" spans="1:51" ht="15" customHeight="1" x14ac:dyDescent="0.2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row>
    <row r="939" spans="1:51" ht="15" customHeight="1" x14ac:dyDescent="0.2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row>
    <row r="940" spans="1:51" ht="15" customHeight="1" x14ac:dyDescent="0.2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row>
    <row r="941" spans="1:51" ht="15" customHeight="1" x14ac:dyDescent="0.2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row>
    <row r="942" spans="1:51" ht="15" customHeight="1" x14ac:dyDescent="0.2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row>
    <row r="943" spans="1:51" ht="15" customHeight="1" x14ac:dyDescent="0.2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row>
    <row r="944" spans="1:51" ht="15" customHeight="1" x14ac:dyDescent="0.2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row>
    <row r="945" spans="1:51" ht="15" customHeight="1" x14ac:dyDescent="0.2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row>
    <row r="946" spans="1:51" ht="15" customHeight="1" x14ac:dyDescent="0.25">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row>
    <row r="947" spans="1:51" ht="15" customHeight="1" x14ac:dyDescent="0.25">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row>
    <row r="948" spans="1:51" ht="15" customHeight="1" x14ac:dyDescent="0.25">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row>
    <row r="949" spans="1:51" ht="15" customHeight="1" x14ac:dyDescent="0.25">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row>
    <row r="950" spans="1:51" ht="15" customHeight="1" x14ac:dyDescent="0.25">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row>
    <row r="951" spans="1:51" ht="15" customHeight="1" x14ac:dyDescent="0.25">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row>
    <row r="952" spans="1:51" ht="15" customHeight="1" x14ac:dyDescent="0.25">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row>
    <row r="953" spans="1:51" ht="15" customHeight="1" x14ac:dyDescent="0.25">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row>
    <row r="954" spans="1:51" ht="15" customHeight="1" x14ac:dyDescent="0.25">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row>
    <row r="955" spans="1:51" ht="15" customHeight="1" x14ac:dyDescent="0.2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row>
    <row r="956" spans="1:51" ht="15" customHeight="1" x14ac:dyDescent="0.25">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row>
    <row r="957" spans="1:51" ht="15" customHeight="1" x14ac:dyDescent="0.25">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row>
    <row r="958" spans="1:51" ht="15" customHeight="1" x14ac:dyDescent="0.25">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row>
    <row r="959" spans="1:51" ht="15" customHeight="1" x14ac:dyDescent="0.25">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row>
    <row r="960" spans="1:51" ht="15" customHeight="1" x14ac:dyDescent="0.25">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row>
    <row r="961" spans="1:51" ht="15" customHeight="1" x14ac:dyDescent="0.25">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row>
    <row r="962" spans="1:51" ht="15" customHeight="1" x14ac:dyDescent="0.25">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row>
    <row r="963" spans="1:51" ht="15" customHeight="1" x14ac:dyDescent="0.25">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row>
    <row r="964" spans="1:51" ht="15" customHeight="1" x14ac:dyDescent="0.25">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row>
    <row r="965" spans="1:51" ht="15" customHeight="1" x14ac:dyDescent="0.2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row>
    <row r="966" spans="1:51" ht="15" customHeight="1" x14ac:dyDescent="0.25">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row>
    <row r="967" spans="1:51" ht="15" customHeight="1" x14ac:dyDescent="0.25">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row>
    <row r="968" spans="1:51" ht="15" customHeight="1" x14ac:dyDescent="0.25">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row>
    <row r="969" spans="1:51" ht="15" customHeight="1" x14ac:dyDescent="0.25">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row>
    <row r="970" spans="1:51" ht="15" customHeight="1" x14ac:dyDescent="0.25">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row>
    <row r="971" spans="1:51" ht="15" customHeight="1" x14ac:dyDescent="0.25">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row>
    <row r="972" spans="1:51" ht="15" customHeight="1" x14ac:dyDescent="0.25">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row>
    <row r="973" spans="1:51" ht="15" customHeight="1" x14ac:dyDescent="0.25">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row>
    <row r="974" spans="1:51" ht="15" customHeight="1" x14ac:dyDescent="0.25">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row>
    <row r="975" spans="1:51" ht="15" customHeight="1" x14ac:dyDescent="0.2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row>
    <row r="976" spans="1:51" ht="15" customHeight="1" x14ac:dyDescent="0.25">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row>
    <row r="977" spans="1:51" ht="15" customHeight="1" x14ac:dyDescent="0.25">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row>
    <row r="978" spans="1:51" ht="15" customHeight="1" x14ac:dyDescent="0.25">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row>
    <row r="979" spans="1:51" ht="15" customHeight="1" x14ac:dyDescent="0.25">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row>
    <row r="980" spans="1:51" ht="15" customHeight="1" x14ac:dyDescent="0.25">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row>
    <row r="981" spans="1:51" ht="15" customHeight="1" x14ac:dyDescent="0.25">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row>
    <row r="982" spans="1:51" ht="15" customHeight="1" x14ac:dyDescent="0.25">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row>
    <row r="983" spans="1:51" ht="15" customHeight="1" x14ac:dyDescent="0.25">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row>
    <row r="984" spans="1:51" ht="15" customHeight="1" x14ac:dyDescent="0.25">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row>
    <row r="985" spans="1:51" ht="15" customHeight="1" x14ac:dyDescent="0.2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row>
    <row r="986" spans="1:51" ht="15" customHeight="1" x14ac:dyDescent="0.25">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row>
    <row r="987" spans="1:51" ht="15" customHeight="1" x14ac:dyDescent="0.25">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row>
    <row r="988" spans="1:51" ht="15" customHeight="1" x14ac:dyDescent="0.25">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row>
    <row r="989" spans="1:51" ht="15" customHeight="1" x14ac:dyDescent="0.25">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row>
    <row r="990" spans="1:51" ht="15" customHeight="1" x14ac:dyDescent="0.25">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row>
    <row r="991" spans="1:51" ht="15" customHeight="1" x14ac:dyDescent="0.25">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row>
    <row r="992" spans="1:51" ht="15" customHeight="1" x14ac:dyDescent="0.25">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row>
    <row r="993" spans="1:51" ht="15" customHeight="1" x14ac:dyDescent="0.25">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row>
    <row r="994" spans="1:51" ht="15" customHeight="1" x14ac:dyDescent="0.25">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row>
    <row r="995" spans="1:51" ht="15" customHeight="1" x14ac:dyDescent="0.2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row>
    <row r="996" spans="1:51" ht="15" customHeight="1" x14ac:dyDescent="0.25">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row>
    <row r="997" spans="1:51" ht="15" customHeight="1" x14ac:dyDescent="0.25">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row>
    <row r="998" spans="1:51" ht="15" customHeight="1" x14ac:dyDescent="0.25">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row>
    <row r="999" spans="1:51" ht="15" customHeight="1" x14ac:dyDescent="0.25">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row>
    <row r="1000" spans="1:51" ht="15" customHeight="1" x14ac:dyDescent="0.25">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row>
    <row r="1001" spans="1:51" ht="15" customHeight="1" x14ac:dyDescent="0.25">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row>
  </sheetData>
  <dataValidations count="5">
    <dataValidation type="list" allowBlank="1" errorTitle="Invalid entry" error="Please choose a value from the dropdown list." sqref="D2:D1001" xr:uid="{00000000-0002-0000-0200-000000000000}">
      <formula1>"Male,Female,Other,Not recorded"</formula1>
      <formula2>0</formula2>
    </dataValidation>
    <dataValidation type="list" allowBlank="1" errorTitle="Invalid entry" error="Please choose a value from the dropdown list." sqref="AD2:AE1001" xr:uid="{00000000-0002-0000-0200-000001000000}">
      <formula1>"Satisfactory,Unsatisfactory,Not recorded"</formula1>
      <formula2>0</formula2>
    </dataValidation>
    <dataValidation type="list" allowBlank="1" errorTitle="Invalid entry" error="Please choose a value from the dropdown list." sqref="AF2:AG1001" xr:uid="{00000000-0002-0000-0200-000003000000}">
      <formula1>"Very Easy,Easy,Difficult,Not recorded"</formula1>
      <formula2>0</formula2>
    </dataValidation>
    <dataValidation type="list" allowBlank="1" errorTitle="Invalid entry" error="Please choose a value from the dropdown list." sqref="AH2:AI1001" xr:uid="{00000000-0002-0000-0200-000005000000}">
      <formula1>"Satisfied,Unsatisfied,Not recorded"</formula1>
      <formula2>0</formula2>
    </dataValidation>
    <dataValidation type="list" allowBlank="1" errorTitle="Invalid entry" error="Please choose a value from the dropdown list." sqref="AJ2:AY1001" xr:uid="{00000000-0002-0000-0200-000007000000}">
      <formula1>"Yes,No,Not recorded"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J47"/>
  <sheetViews>
    <sheetView showGridLines="0" tabSelected="1" topLeftCell="A30" zoomScaleNormal="100" workbookViewId="0">
      <selection sqref="A1:J1"/>
    </sheetView>
  </sheetViews>
  <sheetFormatPr defaultColWidth="8.7109375" defaultRowHeight="15" x14ac:dyDescent="0.25"/>
  <cols>
    <col min="1" max="1" width="19" customWidth="1"/>
    <col min="2" max="5" width="16" customWidth="1"/>
    <col min="6" max="6" width="3" customWidth="1"/>
    <col min="7" max="10" width="16" customWidth="1"/>
  </cols>
  <sheetData>
    <row r="1" spans="1:10" ht="25.5" customHeight="1" x14ac:dyDescent="0.25">
      <c r="A1" s="14" t="s">
        <v>428</v>
      </c>
      <c r="B1" s="14"/>
      <c r="C1" s="14"/>
      <c r="D1" s="14"/>
      <c r="E1" s="14"/>
      <c r="F1" s="14"/>
      <c r="G1" s="14"/>
      <c r="H1" s="14"/>
      <c r="I1" s="14"/>
      <c r="J1" s="14"/>
    </row>
    <row r="3" spans="1:10" ht="30" customHeight="1" x14ac:dyDescent="0.25">
      <c r="B3" s="9" t="s">
        <v>429</v>
      </c>
      <c r="C3" s="9"/>
      <c r="D3" s="8" t="s">
        <v>430</v>
      </c>
      <c r="E3" s="8"/>
      <c r="F3" s="7" t="s">
        <v>431</v>
      </c>
      <c r="G3" s="7"/>
      <c r="H3" s="6" t="s">
        <v>432</v>
      </c>
      <c r="I3" s="6"/>
    </row>
    <row r="4" spans="1:10" ht="19.5" customHeight="1" x14ac:dyDescent="0.25">
      <c r="B4" s="5">
        <f>COUNTA('Patient Data'!A2:A1000)</f>
        <v>51</v>
      </c>
      <c r="C4" s="5"/>
      <c r="D4" s="4">
        <f>IFERROR(AVERAGE('Patient Data'!C2:C1000),0)</f>
        <v>37.647058823529413</v>
      </c>
      <c r="E4" s="4"/>
      <c r="F4" s="3">
        <f>IFERROR(COUNTIF('Patient Data'!AD2:AD1000,"Satisfactory")/(COUNTIF('Patient Data'!AD2:AD1000,"Satisfactory")+COUNTIF('Patient Data'!AD2:AD1000,"Unsatisfactory")),0)</f>
        <v>0.69444444444444442</v>
      </c>
      <c r="G4" s="3"/>
      <c r="H4" s="2">
        <f>IFERROR(COUNTIF('Patient Data'!AE2:AE1000,"Satisfactory")/(COUNTIF('Patient Data'!AE2:AE1000,"Satisfactory")+COUNTIF('Patient Data'!AE2:AE1000,"Unsatisfactory")),0)</f>
        <v>0.53846153846153844</v>
      </c>
      <c r="I4" s="2"/>
    </row>
    <row r="5" spans="1:10" ht="19.5" customHeight="1" x14ac:dyDescent="0.25">
      <c r="B5" s="5"/>
      <c r="C5" s="5"/>
      <c r="D5" s="4"/>
      <c r="E5" s="4"/>
      <c r="F5" s="3"/>
      <c r="G5" s="3"/>
      <c r="H5" s="2"/>
      <c r="I5" s="2"/>
    </row>
    <row r="7" spans="1:10" ht="19.5" customHeight="1" x14ac:dyDescent="0.25">
      <c r="A7" s="11" t="s">
        <v>433</v>
      </c>
      <c r="B7" s="11"/>
      <c r="C7" s="11"/>
      <c r="D7" s="11"/>
      <c r="E7" s="11"/>
      <c r="F7" s="11"/>
      <c r="G7" s="11"/>
      <c r="H7" s="11"/>
      <c r="I7" s="11"/>
      <c r="J7" s="11"/>
    </row>
    <row r="8" spans="1:10" ht="15" customHeight="1" x14ac:dyDescent="0.25">
      <c r="A8" s="36" t="s">
        <v>434</v>
      </c>
      <c r="B8" s="36" t="s">
        <v>39</v>
      </c>
      <c r="C8" s="36" t="s">
        <v>40</v>
      </c>
    </row>
    <row r="9" spans="1:10" ht="15" customHeight="1" x14ac:dyDescent="0.25">
      <c r="A9" s="31" t="s">
        <v>146</v>
      </c>
      <c r="B9" s="31">
        <f>COUNTIF('Patient Data'!AD2:AD1000,"Satisfactory")</f>
        <v>25</v>
      </c>
      <c r="C9" s="31">
        <f>COUNTIF('Patient Data'!AE2:AE1000,"Satisfactory")</f>
        <v>21</v>
      </c>
    </row>
    <row r="10" spans="1:10" ht="15" customHeight="1" x14ac:dyDescent="0.25">
      <c r="A10" s="31" t="s">
        <v>221</v>
      </c>
      <c r="B10" s="31">
        <f>COUNTIF('Patient Data'!AD2:AD1000,"Unsatisfactory")</f>
        <v>11</v>
      </c>
      <c r="C10" s="31">
        <f>COUNTIF('Patient Data'!AE2:AE1000,"Unsatisfactory")</f>
        <v>18</v>
      </c>
    </row>
    <row r="12" spans="1:10" ht="19.5" customHeight="1" x14ac:dyDescent="0.25">
      <c r="A12" s="11" t="s">
        <v>435</v>
      </c>
      <c r="B12" s="11"/>
      <c r="C12" s="11"/>
      <c r="D12" s="11"/>
      <c r="E12" s="11"/>
      <c r="F12" s="11"/>
      <c r="G12" s="11"/>
      <c r="H12" s="11"/>
      <c r="I12" s="11"/>
      <c r="J12" s="11"/>
    </row>
    <row r="13" spans="1:10" ht="15" customHeight="1" x14ac:dyDescent="0.25">
      <c r="A13" s="36" t="s">
        <v>35</v>
      </c>
      <c r="B13" s="36" t="s">
        <v>436</v>
      </c>
    </row>
    <row r="14" spans="1:10" ht="15" customHeight="1" x14ac:dyDescent="0.25">
      <c r="A14" s="31" t="s">
        <v>251</v>
      </c>
      <c r="B14" s="31">
        <f>COUNTIF('Patient Data'!D2:D1000,"Male")</f>
        <v>20</v>
      </c>
    </row>
    <row r="15" spans="1:10" ht="15" customHeight="1" x14ac:dyDescent="0.25">
      <c r="A15" s="31" t="s">
        <v>132</v>
      </c>
      <c r="B15" s="31">
        <f>COUNTIF('Patient Data'!D2:D1000,"Female")</f>
        <v>28</v>
      </c>
    </row>
    <row r="16" spans="1:10" ht="15" customHeight="1" x14ac:dyDescent="0.25">
      <c r="A16" s="31" t="s">
        <v>437</v>
      </c>
      <c r="B16" s="31">
        <f>COUNTIF('Patient Data'!D2:D1000,"Other")</f>
        <v>0</v>
      </c>
    </row>
    <row r="17" spans="1:10" ht="15" customHeight="1" x14ac:dyDescent="0.25">
      <c r="A17" s="31" t="s">
        <v>147</v>
      </c>
      <c r="B17" s="31">
        <f>COUNTIF('Patient Data'!D2:D1000,"Not recorded")</f>
        <v>3</v>
      </c>
    </row>
    <row r="19" spans="1:10" ht="19.5" customHeight="1" x14ac:dyDescent="0.25">
      <c r="A19" s="11" t="s">
        <v>438</v>
      </c>
      <c r="B19" s="11"/>
      <c r="C19" s="11"/>
      <c r="D19" s="11"/>
      <c r="E19" s="11"/>
      <c r="F19" s="11"/>
      <c r="G19" s="11"/>
      <c r="H19" s="11"/>
      <c r="I19" s="11"/>
      <c r="J19" s="11"/>
    </row>
    <row r="20" spans="1:10" ht="15" customHeight="1" x14ac:dyDescent="0.25">
      <c r="A20" s="36" t="s">
        <v>439</v>
      </c>
      <c r="B20" s="36" t="s">
        <v>436</v>
      </c>
    </row>
    <row r="21" spans="1:10" ht="15" customHeight="1" x14ac:dyDescent="0.25">
      <c r="A21" s="31" t="s">
        <v>440</v>
      </c>
      <c r="B21" s="31">
        <f>COUNTIFS('Patient Data'!C2:C1000,"&gt;=0",'Patient Data'!C2:C1000,"&lt;=10")</f>
        <v>1</v>
      </c>
    </row>
    <row r="22" spans="1:10" ht="15" customHeight="1" x14ac:dyDescent="0.25">
      <c r="A22" s="31" t="s">
        <v>441</v>
      </c>
      <c r="B22" s="31">
        <f>COUNTIFS('Patient Data'!C2:C1000,"&gt;=11",'Patient Data'!C2:C1000,"&lt;=20")</f>
        <v>3</v>
      </c>
    </row>
    <row r="23" spans="1:10" ht="15" customHeight="1" x14ac:dyDescent="0.25">
      <c r="A23" s="31" t="s">
        <v>442</v>
      </c>
      <c r="B23" s="31">
        <f>COUNTIFS('Patient Data'!C2:C1000,"&gt;=21",'Patient Data'!C2:C1000,"&lt;=30")</f>
        <v>12</v>
      </c>
    </row>
    <row r="24" spans="1:10" ht="15" customHeight="1" x14ac:dyDescent="0.25">
      <c r="A24" s="31" t="s">
        <v>443</v>
      </c>
      <c r="B24" s="31">
        <f>COUNTIFS('Patient Data'!C2:C1000,"&gt;=31",'Patient Data'!C2:C1000,"&lt;=40")</f>
        <v>15</v>
      </c>
    </row>
    <row r="25" spans="1:10" ht="15" customHeight="1" x14ac:dyDescent="0.25">
      <c r="A25" s="31" t="s">
        <v>444</v>
      </c>
      <c r="B25" s="31">
        <f>COUNTIFS('Patient Data'!C2:C1000,"&gt;=41",'Patient Data'!C2:C1000,"&lt;=50")</f>
        <v>10</v>
      </c>
    </row>
    <row r="26" spans="1:10" ht="15" customHeight="1" x14ac:dyDescent="0.25">
      <c r="A26" s="31" t="s">
        <v>445</v>
      </c>
      <c r="B26" s="31">
        <f>COUNTIFS('Patient Data'!C2:C1000,"&gt;=51",'Patient Data'!C2:C1000,"&lt;=60")</f>
        <v>9</v>
      </c>
    </row>
    <row r="27" spans="1:10" ht="15" customHeight="1" x14ac:dyDescent="0.25">
      <c r="A27" s="31" t="s">
        <v>446</v>
      </c>
      <c r="B27" s="31">
        <f>COUNTIFS('Patient Data'!C2:C1000,"&gt;=61",'Patient Data'!C2:C1000,"&lt;=70")</f>
        <v>1</v>
      </c>
    </row>
    <row r="28" spans="1:10" ht="15" customHeight="1" x14ac:dyDescent="0.25">
      <c r="A28" s="31" t="s">
        <v>447</v>
      </c>
      <c r="B28" s="31">
        <f>COUNTIFS('Patient Data'!C2:C1000,"&gt;=71",'Patient Data'!C2:C1000,"&lt;=80")</f>
        <v>0</v>
      </c>
    </row>
    <row r="29" spans="1:10" ht="15" customHeight="1" x14ac:dyDescent="0.25">
      <c r="A29" s="31" t="s">
        <v>448</v>
      </c>
      <c r="B29" s="31">
        <f>COUNTIFS('Patient Data'!C2:C1000,"&gt;=81",'Patient Data'!C2:C1000,"&lt;=90")</f>
        <v>0</v>
      </c>
    </row>
    <row r="30" spans="1:10" ht="15" customHeight="1" x14ac:dyDescent="0.25">
      <c r="A30" s="31" t="s">
        <v>449</v>
      </c>
      <c r="B30" s="31">
        <f>COUNTIFS('Patient Data'!C2:C1000,"&gt;=91")</f>
        <v>0</v>
      </c>
    </row>
    <row r="32" spans="1:10" ht="19.5" customHeight="1" x14ac:dyDescent="0.25">
      <c r="A32" s="11" t="s">
        <v>450</v>
      </c>
      <c r="B32" s="11"/>
      <c r="C32" s="11"/>
      <c r="D32" s="11"/>
      <c r="E32" s="11"/>
      <c r="F32" s="11"/>
      <c r="G32" s="11"/>
      <c r="H32" s="11"/>
      <c r="I32" s="11"/>
      <c r="J32" s="11"/>
    </row>
    <row r="33" spans="1:10" ht="15" customHeight="1" x14ac:dyDescent="0.25">
      <c r="A33" s="36" t="s">
        <v>69</v>
      </c>
      <c r="B33" s="36" t="s">
        <v>436</v>
      </c>
    </row>
    <row r="34" spans="1:10" ht="15" customHeight="1" x14ac:dyDescent="0.25">
      <c r="A34" s="31" t="s">
        <v>205</v>
      </c>
      <c r="B34" s="31">
        <f>COUNTIF('Patient Data'!AB2:AB1000,"Refractive Error")</f>
        <v>6</v>
      </c>
    </row>
    <row r="35" spans="1:10" ht="15" customHeight="1" x14ac:dyDescent="0.25">
      <c r="A35" s="31" t="s">
        <v>234</v>
      </c>
      <c r="B35" s="31">
        <f>COUNTIF('Patient Data'!AB2:AB1000,"Cataract")</f>
        <v>5</v>
      </c>
    </row>
    <row r="36" spans="1:10" ht="15" customHeight="1" x14ac:dyDescent="0.25">
      <c r="A36" s="31" t="s">
        <v>266</v>
      </c>
      <c r="B36" s="31">
        <f>COUNTIF('Patient Data'!AB2:AB1000,"Glaucoma suspect")</f>
        <v>1</v>
      </c>
    </row>
    <row r="37" spans="1:10" ht="15" customHeight="1" x14ac:dyDescent="0.25">
      <c r="A37" s="31" t="s">
        <v>295</v>
      </c>
      <c r="B37" s="31">
        <f>COUNTIF('Patient Data'!AB2:AB1000,"Conjunctivitis")</f>
        <v>3</v>
      </c>
    </row>
    <row r="38" spans="1:10" ht="15" customHeight="1" x14ac:dyDescent="0.25">
      <c r="A38" s="31" t="s">
        <v>197</v>
      </c>
      <c r="B38" s="31">
        <f>COUNTIF('Patient Data'!AB2:AB1000,"Strabismus")</f>
        <v>4</v>
      </c>
    </row>
    <row r="39" spans="1:10" ht="15" customHeight="1" x14ac:dyDescent="0.25">
      <c r="A39" s="31" t="s">
        <v>427</v>
      </c>
      <c r="B39" s="31">
        <f>COUNTIF('Patient Data'!AB2:AB1000,"Diabetic Retinopathy")</f>
        <v>0</v>
      </c>
    </row>
    <row r="40" spans="1:10" ht="15" customHeight="1" x14ac:dyDescent="0.25">
      <c r="A40" s="31" t="s">
        <v>311</v>
      </c>
      <c r="B40" s="31">
        <f>COUNTIF('Patient Data'!AB2:AB1000,"Pterygium")</f>
        <v>6</v>
      </c>
    </row>
    <row r="41" spans="1:10" ht="15" customHeight="1" x14ac:dyDescent="0.25">
      <c r="A41" s="31" t="s">
        <v>179</v>
      </c>
      <c r="B41" s="31">
        <f>COUNTIF('Patient Data'!AB2:AB1000,"Normal Examination")</f>
        <v>5</v>
      </c>
    </row>
    <row r="42" spans="1:10" ht="15" customHeight="1" x14ac:dyDescent="0.25">
      <c r="A42" s="31" t="s">
        <v>277</v>
      </c>
      <c r="B42" s="31">
        <f>COUNTIF('Patient Data'!AB2:AB1000,"Dry Eye Disease")</f>
        <v>3</v>
      </c>
    </row>
    <row r="43" spans="1:10" ht="15" customHeight="1" x14ac:dyDescent="0.25">
      <c r="A43" s="31" t="s">
        <v>220</v>
      </c>
      <c r="B43" s="31">
        <f>COUNTIF('Patient Data'!AB2:AB1000,"Amblyopia")</f>
        <v>5</v>
      </c>
    </row>
    <row r="44" spans="1:10" ht="15" customHeight="1" x14ac:dyDescent="0.25">
      <c r="A44" s="31" t="s">
        <v>144</v>
      </c>
      <c r="B44" s="31">
        <f>COUNTIF('Patient Data'!AB2:AB1000,"Allergic Conjunctivitis")</f>
        <v>7</v>
      </c>
    </row>
    <row r="45" spans="1:10" ht="15" customHeight="1" x14ac:dyDescent="0.25">
      <c r="A45" s="31" t="s">
        <v>165</v>
      </c>
      <c r="B45" s="31">
        <f>COUNTIF('Patient Data'!AB2:AB1000,"Corneal Opacity")</f>
        <v>6</v>
      </c>
    </row>
    <row r="46" spans="1:10" ht="15" customHeight="1" x14ac:dyDescent="0.25">
      <c r="A46" s="31" t="s">
        <v>451</v>
      </c>
      <c r="B46" s="31">
        <f>MAX(0,COUNTA('Patient Data'!AB2:AB1000)-SUM(B34:B45))</f>
        <v>0</v>
      </c>
    </row>
    <row r="47" spans="1:10" ht="15" customHeight="1" x14ac:dyDescent="0.25">
      <c r="A47" s="1" t="s">
        <v>452</v>
      </c>
      <c r="B47" s="1"/>
      <c r="C47" s="1"/>
      <c r="D47" s="1"/>
      <c r="E47" s="1"/>
      <c r="F47" s="1"/>
      <c r="G47" s="1"/>
      <c r="H47" s="1"/>
      <c r="I47" s="1"/>
      <c r="J47" s="1"/>
    </row>
  </sheetData>
  <mergeCells count="14">
    <mergeCell ref="A12:J12"/>
    <mergeCell ref="A19:J19"/>
    <mergeCell ref="A32:J32"/>
    <mergeCell ref="A47:J47"/>
    <mergeCell ref="B4:C5"/>
    <mergeCell ref="D4:E5"/>
    <mergeCell ref="F4:G5"/>
    <mergeCell ref="H4:I5"/>
    <mergeCell ref="A7:J7"/>
    <mergeCell ref="A1:J1"/>
    <mergeCell ref="B3:C3"/>
    <mergeCell ref="D3:E3"/>
    <mergeCell ref="F3:G3"/>
    <mergeCell ref="H3:I3"/>
  </mergeCells>
  <pageMargins left="0.4" right="0.4" top="0.5" bottom="0.5" header="0.511811023622047" footer="0.511811023622047"/>
  <pageSetup paperSize="9"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E28"/>
  <sheetViews>
    <sheetView showGridLines="0" zoomScaleNormal="100" workbookViewId="0">
      <selection activeCell="C5" sqref="C5"/>
    </sheetView>
  </sheetViews>
  <sheetFormatPr defaultColWidth="8.7109375" defaultRowHeight="15" x14ac:dyDescent="0.25"/>
  <cols>
    <col min="1" max="1" width="22" customWidth="1"/>
    <col min="2" max="2" width="19" customWidth="1"/>
    <col min="3" max="5" width="12" customWidth="1"/>
    <col min="6" max="6" width="3" customWidth="1"/>
    <col min="7" max="7" width="50" customWidth="1"/>
  </cols>
  <sheetData>
    <row r="1" spans="1:5" ht="25.5" customHeight="1" x14ac:dyDescent="0.25">
      <c r="A1" s="14" t="s">
        <v>453</v>
      </c>
      <c r="B1" s="14"/>
      <c r="C1" s="14"/>
      <c r="D1" s="14"/>
      <c r="E1" s="14"/>
    </row>
    <row r="3" spans="1:5" ht="19.5" customHeight="1" x14ac:dyDescent="0.25">
      <c r="A3" s="11" t="s">
        <v>454</v>
      </c>
      <c r="B3" s="11"/>
      <c r="C3" s="11"/>
      <c r="D3" s="11"/>
      <c r="E3" s="11"/>
    </row>
    <row r="4" spans="1:5" ht="15" customHeight="1" x14ac:dyDescent="0.25">
      <c r="A4" s="37" t="s">
        <v>455</v>
      </c>
      <c r="B4" s="37" t="s">
        <v>456</v>
      </c>
      <c r="C4" s="37" t="s">
        <v>457</v>
      </c>
      <c r="D4" s="37" t="s">
        <v>458</v>
      </c>
      <c r="E4" s="37" t="s">
        <v>459</v>
      </c>
    </row>
    <row r="5" spans="1:5" ht="15" customHeight="1" x14ac:dyDescent="0.25">
      <c r="A5" s="31" t="s">
        <v>460</v>
      </c>
      <c r="B5" s="31" t="s">
        <v>39</v>
      </c>
      <c r="C5" s="31">
        <f>COUNT('Patient Data'!M2:M1000)</f>
        <v>51</v>
      </c>
      <c r="D5" s="34">
        <f>IFERROR(AVERAGE('Patient Data'!M2:M1000),"")</f>
        <v>16.284313725490197</v>
      </c>
      <c r="E5" s="34">
        <f>IFERROR(STDEV('Patient Data'!M2:M1000),"")</f>
        <v>3.1402148046921443</v>
      </c>
    </row>
    <row r="6" spans="1:5" ht="15" customHeight="1" x14ac:dyDescent="0.25">
      <c r="A6" s="31" t="s">
        <v>460</v>
      </c>
      <c r="B6" s="31" t="s">
        <v>40</v>
      </c>
      <c r="C6" s="31">
        <f>COUNT('Patient Data'!N2:N1000)</f>
        <v>51</v>
      </c>
      <c r="D6" s="34">
        <f>IFERROR(AVERAGE('Patient Data'!N2:N1000),"")</f>
        <v>16.576470588235299</v>
      </c>
      <c r="E6" s="34">
        <f>IFERROR(STDEV('Patient Data'!N2:N1000),"")</f>
        <v>3.2866145642769733</v>
      </c>
    </row>
    <row r="7" spans="1:5" ht="15" customHeight="1" x14ac:dyDescent="0.25">
      <c r="A7" s="31" t="s">
        <v>461</v>
      </c>
      <c r="B7" s="31" t="s">
        <v>39</v>
      </c>
      <c r="C7" s="31">
        <f>COUNT('Patient Data'!O2:O1000)</f>
        <v>51</v>
      </c>
      <c r="D7" s="35">
        <f>IFERROR(AVERAGE('Patient Data'!O2:O1000),"")</f>
        <v>-0.76058823529411768</v>
      </c>
      <c r="E7" s="35">
        <f>IFERROR(STDEV('Patient Data'!O2:O1000),"")</f>
        <v>2.5637725419894064</v>
      </c>
    </row>
    <row r="8" spans="1:5" ht="15" customHeight="1" x14ac:dyDescent="0.25">
      <c r="A8" s="31" t="s">
        <v>461</v>
      </c>
      <c r="B8" s="31" t="s">
        <v>40</v>
      </c>
      <c r="C8" s="31">
        <f>COUNT('Patient Data'!R2:R1000)</f>
        <v>51</v>
      </c>
      <c r="D8" s="35">
        <f>IFERROR(AVERAGE('Patient Data'!R2:R1000),"")</f>
        <v>-0.78882352941176448</v>
      </c>
      <c r="E8" s="35">
        <f>IFERROR(STDEV('Patient Data'!R2:R1000),"")</f>
        <v>2.5468754559725322</v>
      </c>
    </row>
    <row r="9" spans="1:5" ht="15" customHeight="1" x14ac:dyDescent="0.25">
      <c r="A9" s="31" t="s">
        <v>462</v>
      </c>
      <c r="B9" s="31" t="s">
        <v>39</v>
      </c>
      <c r="C9" s="31">
        <f>COUNT('Patient Data'!P2:P1000)</f>
        <v>51</v>
      </c>
      <c r="D9" s="35">
        <f>IFERROR(AVERAGE('Patient Data'!P2:P1000),"")</f>
        <v>-1.0941176470588234</v>
      </c>
      <c r="E9" s="35">
        <f>IFERROR(STDEV('Patient Data'!P2:P1000),"")</f>
        <v>0.71461927337733699</v>
      </c>
    </row>
    <row r="10" spans="1:5" ht="15" customHeight="1" x14ac:dyDescent="0.25">
      <c r="A10" s="31" t="s">
        <v>462</v>
      </c>
      <c r="B10" s="31" t="s">
        <v>40</v>
      </c>
      <c r="C10" s="31">
        <f>COUNT('Patient Data'!S2:S1000)</f>
        <v>51</v>
      </c>
      <c r="D10" s="35">
        <f>IFERROR(AVERAGE('Patient Data'!S2:S1000),"")</f>
        <v>-1.1505882352941177</v>
      </c>
      <c r="E10" s="35">
        <f>IFERROR(STDEV('Patient Data'!S2:S1000),"")</f>
        <v>0.73568855302962477</v>
      </c>
    </row>
    <row r="11" spans="1:5" ht="15" customHeight="1" x14ac:dyDescent="0.25">
      <c r="A11" s="31" t="s">
        <v>463</v>
      </c>
      <c r="B11" s="31" t="s">
        <v>39</v>
      </c>
      <c r="C11" s="31">
        <f>COUNT('Patient Data'!Q2:Q1000)</f>
        <v>51</v>
      </c>
      <c r="D11" s="32">
        <f>IFERROR(AVERAGE('Patient Data'!Q2:Q1000),"")</f>
        <v>90.098039215686271</v>
      </c>
      <c r="E11" s="32">
        <f>IFERROR(STDEV('Patient Data'!Q2:Q1000),"")</f>
        <v>60.510248686304628</v>
      </c>
    </row>
    <row r="12" spans="1:5" ht="15" customHeight="1" x14ac:dyDescent="0.25">
      <c r="A12" s="31" t="s">
        <v>463</v>
      </c>
      <c r="B12" s="31" t="s">
        <v>40</v>
      </c>
      <c r="C12" s="31">
        <f>COUNT('Patient Data'!T2:T1000)</f>
        <v>51</v>
      </c>
      <c r="D12" s="32">
        <f>IFERROR(AVERAGE('Patient Data'!T2:T1000),"")</f>
        <v>90.313725490196077</v>
      </c>
      <c r="E12" s="32">
        <f>IFERROR(STDEV('Patient Data'!T2:T1000),"")</f>
        <v>58.612793892145575</v>
      </c>
    </row>
    <row r="14" spans="1:5" ht="19.5" customHeight="1" x14ac:dyDescent="0.25">
      <c r="A14" s="11" t="s">
        <v>464</v>
      </c>
      <c r="B14" s="11"/>
      <c r="C14" s="11"/>
      <c r="D14" s="11"/>
      <c r="E14" s="11"/>
    </row>
    <row r="15" spans="1:5" ht="23.25" customHeight="1" x14ac:dyDescent="0.25">
      <c r="A15" s="37" t="s">
        <v>455</v>
      </c>
      <c r="B15" s="37" t="s">
        <v>465</v>
      </c>
      <c r="C15" s="37" t="s">
        <v>466</v>
      </c>
      <c r="D15" s="37" t="s">
        <v>467</v>
      </c>
    </row>
    <row r="16" spans="1:5" ht="15" customHeight="1" x14ac:dyDescent="0.25">
      <c r="A16" s="31" t="s">
        <v>460</v>
      </c>
      <c r="B16" s="34">
        <f>IFERROR(AVERAGE('Patient Data'!M2:M1000)-AVERAGE('Patient Data'!N2:N1000),"")</f>
        <v>-0.29215686274510233</v>
      </c>
      <c r="C16" s="38">
        <f>IFERROR(TTEST('Patient Data'!M2:M1000,'Patient Data'!N2:N1000,2,1),"")</f>
        <v>0.14741641237429418</v>
      </c>
      <c r="D16" s="31" t="str">
        <f>IF(C16="","",IF(C16&lt;0.05,"Significant difference (p&lt;0.05)","No significant difference"))</f>
        <v>No significant difference</v>
      </c>
    </row>
    <row r="17" spans="1:5" ht="15" customHeight="1" x14ac:dyDescent="0.25">
      <c r="A17" s="31" t="s">
        <v>461</v>
      </c>
      <c r="B17" s="35">
        <f>IFERROR(AVERAGE('Patient Data'!O2:O1000)-AVERAGE('Patient Data'!R2:R1000),"")</f>
        <v>2.8235294117646803E-2</v>
      </c>
      <c r="C17" s="38">
        <f>IFERROR(TTEST('Patient Data'!O2:O1000,'Patient Data'!R2:R1000,2,1),"")</f>
        <v>0.5745455802222228</v>
      </c>
      <c r="D17" s="31" t="str">
        <f>IF(C17="","",IF(C17&lt;0.05,"Significant difference (p&lt;0.05)","No significant difference"))</f>
        <v>No significant difference</v>
      </c>
    </row>
    <row r="18" spans="1:5" ht="15" customHeight="1" x14ac:dyDescent="0.25">
      <c r="A18" s="31" t="s">
        <v>462</v>
      </c>
      <c r="B18" s="35">
        <f>IFERROR(AVERAGE('Patient Data'!P2:P1000)-AVERAGE('Patient Data'!S2:S1000),"")</f>
        <v>5.6470588235294272E-2</v>
      </c>
      <c r="C18" s="38">
        <f>IFERROR(TTEST('Patient Data'!P2:P1000,'Patient Data'!S2:S1000,2,1),"")</f>
        <v>0.1083998425938561</v>
      </c>
      <c r="D18" s="31" t="str">
        <f>IF(C18="","",IF(C18&lt;0.05,"Significant difference (p&lt;0.05)","No significant difference"))</f>
        <v>No significant difference</v>
      </c>
    </row>
    <row r="19" spans="1:5" ht="15" customHeight="1" x14ac:dyDescent="0.25">
      <c r="A19" s="31" t="s">
        <v>463</v>
      </c>
      <c r="B19" s="32">
        <f>IFERROR(AVERAGE('Patient Data'!Q2:Q1000)-AVERAGE('Patient Data'!T2:T1000),"")</f>
        <v>-0.21568627450980671</v>
      </c>
      <c r="C19" s="38">
        <f>IFERROR(TTEST('Patient Data'!Q2:Q1000,'Patient Data'!T2:T1000,2,1),"")</f>
        <v>0.78458322978235473</v>
      </c>
      <c r="D19" s="31" t="str">
        <f>IF(C19="","",IF(C19&lt;0.05,"Significant difference (p&lt;0.05)","No significant difference"))</f>
        <v>No significant difference</v>
      </c>
    </row>
    <row r="21" spans="1:5" ht="15" customHeight="1" x14ac:dyDescent="0.25">
      <c r="A21" s="1" t="s">
        <v>468</v>
      </c>
      <c r="B21" s="1"/>
      <c r="C21" s="1"/>
      <c r="D21" s="1"/>
      <c r="E21" s="1"/>
    </row>
    <row r="23" spans="1:5" ht="19.5" customHeight="1" x14ac:dyDescent="0.25">
      <c r="A23" s="11" t="s">
        <v>469</v>
      </c>
      <c r="B23" s="11"/>
      <c r="C23" s="11"/>
      <c r="D23" s="11"/>
      <c r="E23" s="11"/>
    </row>
    <row r="24" spans="1:5" ht="34.5" customHeight="1" x14ac:dyDescent="0.25">
      <c r="A24" s="37" t="s">
        <v>455</v>
      </c>
      <c r="B24" s="37" t="s">
        <v>470</v>
      </c>
      <c r="C24" s="37" t="s">
        <v>471</v>
      </c>
    </row>
    <row r="25" spans="1:5" ht="15" customHeight="1" x14ac:dyDescent="0.25">
      <c r="A25" s="31" t="s">
        <v>460</v>
      </c>
      <c r="B25" s="34">
        <f>IFERROR(AVERAGE('Patient Data'!M2:M1000),0)</f>
        <v>16.284313725490197</v>
      </c>
      <c r="C25" s="34">
        <f>IFERROR(AVERAGE('Patient Data'!N2:N1000),0)</f>
        <v>16.576470588235299</v>
      </c>
    </row>
    <row r="26" spans="1:5" ht="15" customHeight="1" x14ac:dyDescent="0.25">
      <c r="A26" s="31" t="s">
        <v>461</v>
      </c>
      <c r="B26" s="35">
        <f>IFERROR(AVERAGE('Patient Data'!O2:O1000),0)</f>
        <v>-0.76058823529411768</v>
      </c>
      <c r="C26" s="35">
        <f>IFERROR(AVERAGE('Patient Data'!R2:R1000),0)</f>
        <v>-0.78882352941176448</v>
      </c>
    </row>
    <row r="27" spans="1:5" ht="15" customHeight="1" x14ac:dyDescent="0.25">
      <c r="A27" s="31" t="s">
        <v>462</v>
      </c>
      <c r="B27" s="35">
        <f>IFERROR(AVERAGE('Patient Data'!P2:P1000),0)</f>
        <v>-1.0941176470588234</v>
      </c>
      <c r="C27" s="35">
        <f>IFERROR(AVERAGE('Patient Data'!S2:S1000),0)</f>
        <v>-1.1505882352941177</v>
      </c>
    </row>
    <row r="28" spans="1:5" ht="15" customHeight="1" x14ac:dyDescent="0.25">
      <c r="A28" s="31" t="s">
        <v>463</v>
      </c>
      <c r="B28" s="32">
        <f>IFERROR(AVERAGE('Patient Data'!Q2:Q1000),0)</f>
        <v>90.098039215686271</v>
      </c>
      <c r="C28" s="32">
        <f>IFERROR(AVERAGE('Patient Data'!T2:T1000),0)</f>
        <v>90.313725490196077</v>
      </c>
    </row>
  </sheetData>
  <mergeCells count="5">
    <mergeCell ref="A1:E1"/>
    <mergeCell ref="A3:E3"/>
    <mergeCell ref="A14:E14"/>
    <mergeCell ref="A21:E21"/>
    <mergeCell ref="A23:E23"/>
  </mergeCells>
  <pageMargins left="0.4" right="0.4" top="0.5" bottom="0.5" header="0.511811023622047" footer="0.511811023622047"/>
  <pageSetup paperSize="9"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G15"/>
  <sheetViews>
    <sheetView showGridLines="0" zoomScaleNormal="100" workbookViewId="0">
      <selection activeCell="M21" sqref="M21"/>
    </sheetView>
  </sheetViews>
  <sheetFormatPr defaultColWidth="8.7109375" defaultRowHeight="15" x14ac:dyDescent="0.25"/>
  <cols>
    <col min="1" max="1" width="26" customWidth="1"/>
    <col min="2" max="7" width="11" customWidth="1"/>
  </cols>
  <sheetData>
    <row r="1" spans="1:7" ht="25.5" customHeight="1" x14ac:dyDescent="0.25">
      <c r="A1" s="14" t="s">
        <v>472</v>
      </c>
      <c r="B1" s="14"/>
      <c r="C1" s="14"/>
      <c r="D1" s="14"/>
      <c r="E1" s="14"/>
      <c r="F1" s="14"/>
      <c r="G1" s="14"/>
    </row>
    <row r="2" spans="1:7" ht="25.5" customHeight="1" x14ac:dyDescent="0.25">
      <c r="A2" s="47" t="s">
        <v>473</v>
      </c>
      <c r="B2" s="47"/>
      <c r="C2" s="47"/>
      <c r="D2" s="47"/>
      <c r="E2" s="47"/>
      <c r="F2" s="47"/>
      <c r="G2" s="47"/>
    </row>
    <row r="4" spans="1:7" ht="19.5" customHeight="1" x14ac:dyDescent="0.25">
      <c r="A4" s="11" t="s">
        <v>474</v>
      </c>
      <c r="B4" s="11"/>
      <c r="C4" s="11"/>
      <c r="D4" s="11"/>
      <c r="E4" s="11"/>
      <c r="F4" s="11"/>
      <c r="G4" s="11"/>
    </row>
    <row r="5" spans="1:7" ht="21.75" customHeight="1" x14ac:dyDescent="0.25">
      <c r="A5" s="39" t="s">
        <v>455</v>
      </c>
      <c r="B5" s="39" t="s">
        <v>475</v>
      </c>
      <c r="C5" s="39" t="s">
        <v>476</v>
      </c>
      <c r="D5" s="39" t="s">
        <v>477</v>
      </c>
      <c r="E5" s="39" t="s">
        <v>478</v>
      </c>
      <c r="F5" s="39" t="s">
        <v>479</v>
      </c>
      <c r="G5" s="39" t="s">
        <v>480</v>
      </c>
    </row>
    <row r="6" spans="1:7" ht="15" customHeight="1" x14ac:dyDescent="0.25">
      <c r="A6" s="31" t="s">
        <v>74</v>
      </c>
      <c r="B6" s="31">
        <f>COUNTIF('Patient Data'!AF2:AF1000,"Very Easy")</f>
        <v>11</v>
      </c>
      <c r="C6" s="31">
        <f>COUNTIFS('Patient Data'!AF2:AF1000,"&lt;&gt;Not recorded",'Patient Data'!AF2:AF1000,"&lt;&gt;")</f>
        <v>51</v>
      </c>
      <c r="D6" s="40">
        <f t="shared" ref="D6:D15" si="0">IFERROR(B6/C6,0)</f>
        <v>0.21568627450980393</v>
      </c>
      <c r="E6" s="31">
        <f>COUNTIF('Patient Data'!AG2:AG1000,"Very Easy")</f>
        <v>27</v>
      </c>
      <c r="F6" s="31">
        <f>COUNTIFS('Patient Data'!AG2:AG1000,"&lt;&gt;Not recorded",'Patient Data'!AG2:AG1000,"&lt;&gt;")</f>
        <v>51</v>
      </c>
      <c r="G6" s="40">
        <f t="shared" ref="G6:G15" si="1">IFERROR(E6/F6,0)</f>
        <v>0.52941176470588236</v>
      </c>
    </row>
    <row r="7" spans="1:7" ht="15" customHeight="1" x14ac:dyDescent="0.25">
      <c r="A7" s="31" t="s">
        <v>75</v>
      </c>
      <c r="B7" s="31">
        <f>COUNTIF('Patient Data'!AH2:AH1000,"Satisfied")</f>
        <v>40</v>
      </c>
      <c r="C7" s="31">
        <f>COUNTIFS('Patient Data'!AH2:AH1000,"&lt;&gt;Not recorded",'Patient Data'!AH2:AH1000,"&lt;&gt;")</f>
        <v>51</v>
      </c>
      <c r="D7" s="40">
        <f t="shared" si="0"/>
        <v>0.78431372549019607</v>
      </c>
      <c r="E7" s="31">
        <f>COUNTIF('Patient Data'!AI2:AI1000,"Satisfied")</f>
        <v>38</v>
      </c>
      <c r="F7" s="31">
        <f>COUNTIFS('Patient Data'!AI2:AI1000,"&lt;&gt;Not recorded",'Patient Data'!AI2:AI1000,"&lt;&gt;")</f>
        <v>49</v>
      </c>
      <c r="G7" s="40">
        <f t="shared" si="1"/>
        <v>0.77551020408163263</v>
      </c>
    </row>
    <row r="8" spans="1:7" ht="15" customHeight="1" x14ac:dyDescent="0.25">
      <c r="A8" s="31" t="s">
        <v>76</v>
      </c>
      <c r="B8" s="31">
        <f>COUNTIF('Patient Data'!AJ2:AJ1000,"Yes")</f>
        <v>21</v>
      </c>
      <c r="C8" s="31">
        <f>COUNTIFS('Patient Data'!AJ2:AJ1000,"&lt;&gt;Not recorded",'Patient Data'!AJ2:AJ1000,"&lt;&gt;")</f>
        <v>48</v>
      </c>
      <c r="D8" s="40">
        <f t="shared" si="0"/>
        <v>0.4375</v>
      </c>
      <c r="E8" s="31">
        <f>COUNTIF('Patient Data'!AK2:AK1000,"Yes")</f>
        <v>42</v>
      </c>
      <c r="F8" s="31">
        <f>COUNTIFS('Patient Data'!AK2:AK1000,"&lt;&gt;Not recorded",'Patient Data'!AK2:AK1000,"&lt;&gt;")</f>
        <v>48</v>
      </c>
      <c r="G8" s="40">
        <f t="shared" si="1"/>
        <v>0.875</v>
      </c>
    </row>
    <row r="9" spans="1:7" ht="15" customHeight="1" x14ac:dyDescent="0.25">
      <c r="A9" s="31" t="s">
        <v>77</v>
      </c>
      <c r="B9" s="31">
        <f>COUNTIF('Patient Data'!AL2:AL1000,"Yes")</f>
        <v>23</v>
      </c>
      <c r="C9" s="31">
        <f>COUNTIFS('Patient Data'!AL2:AL1000,"&lt;&gt;Not recorded",'Patient Data'!AL2:AL1000,"&lt;&gt;")</f>
        <v>49</v>
      </c>
      <c r="D9" s="40">
        <f t="shared" si="0"/>
        <v>0.46938775510204084</v>
      </c>
      <c r="E9" s="31">
        <f>COUNTIF('Patient Data'!AM2:AM1000,"Yes")</f>
        <v>32</v>
      </c>
      <c r="F9" s="31">
        <f>COUNTIFS('Patient Data'!AM2:AM1000,"&lt;&gt;Not recorded",'Patient Data'!AM2:AM1000,"&lt;&gt;")</f>
        <v>49</v>
      </c>
      <c r="G9" s="40">
        <f t="shared" si="1"/>
        <v>0.65306122448979587</v>
      </c>
    </row>
    <row r="10" spans="1:7" ht="15" customHeight="1" x14ac:dyDescent="0.25">
      <c r="A10" s="31" t="s">
        <v>78</v>
      </c>
      <c r="B10" s="31">
        <f>COUNTIF('Patient Data'!AN2:AN1000,"Yes")</f>
        <v>42</v>
      </c>
      <c r="C10" s="31">
        <f>COUNTIFS('Patient Data'!AN2:AN1000,"&lt;&gt;Not recorded",'Patient Data'!AN2:AN1000,"&lt;&gt;")</f>
        <v>47</v>
      </c>
      <c r="D10" s="40">
        <f t="shared" si="0"/>
        <v>0.8936170212765957</v>
      </c>
      <c r="E10" s="31">
        <f>COUNTIF('Patient Data'!AO2:AO1000,"Yes")</f>
        <v>13</v>
      </c>
      <c r="F10" s="31">
        <f>COUNTIFS('Patient Data'!AO2:AO1000,"&lt;&gt;Not recorded",'Patient Data'!AO2:AO1000,"&lt;&gt;")</f>
        <v>51</v>
      </c>
      <c r="G10" s="40">
        <f t="shared" si="1"/>
        <v>0.25490196078431371</v>
      </c>
    </row>
    <row r="11" spans="1:7" ht="15" customHeight="1" x14ac:dyDescent="0.25">
      <c r="A11" s="31" t="s">
        <v>79</v>
      </c>
      <c r="B11" s="31">
        <f>COUNTIF('Patient Data'!AP2:AP1000,"Yes")</f>
        <v>4</v>
      </c>
      <c r="C11" s="31">
        <f>COUNTIFS('Patient Data'!AP2:AP1000,"&lt;&gt;Not recorded",'Patient Data'!AP2:AP1000,"&lt;&gt;")</f>
        <v>44</v>
      </c>
      <c r="D11" s="40">
        <f t="shared" si="0"/>
        <v>9.0909090909090912E-2</v>
      </c>
      <c r="E11" s="31">
        <f>COUNTIF('Patient Data'!AQ2:AQ1000,"Yes")</f>
        <v>45</v>
      </c>
      <c r="F11" s="31">
        <f>COUNTIFS('Patient Data'!AQ2:AQ1000,"&lt;&gt;Not recorded",'Patient Data'!AQ2:AQ1000,"&lt;&gt;")</f>
        <v>48</v>
      </c>
      <c r="G11" s="40">
        <f t="shared" si="1"/>
        <v>0.9375</v>
      </c>
    </row>
    <row r="12" spans="1:7" ht="15" customHeight="1" x14ac:dyDescent="0.25">
      <c r="A12" s="31" t="s">
        <v>80</v>
      </c>
      <c r="B12" s="31">
        <f>COUNTIF('Patient Data'!AR2:AR1000,"Yes")</f>
        <v>8</v>
      </c>
      <c r="C12" s="31">
        <f>COUNTIFS('Patient Data'!AR2:AR1000,"&lt;&gt;Not recorded",'Patient Data'!AR2:AR1000,"&lt;&gt;")</f>
        <v>49</v>
      </c>
      <c r="D12" s="40">
        <f t="shared" si="0"/>
        <v>0.16326530612244897</v>
      </c>
      <c r="E12" s="31">
        <f>COUNTIF('Patient Data'!AS2:AS1000,"Yes")</f>
        <v>46</v>
      </c>
      <c r="F12" s="31">
        <f>COUNTIFS('Patient Data'!AS2:AS1000,"&lt;&gt;Not recorded",'Patient Data'!AS2:AS1000,"&lt;&gt;")</f>
        <v>50</v>
      </c>
      <c r="G12" s="40">
        <f t="shared" si="1"/>
        <v>0.92</v>
      </c>
    </row>
    <row r="13" spans="1:7" ht="15" customHeight="1" x14ac:dyDescent="0.25">
      <c r="A13" s="31" t="s">
        <v>81</v>
      </c>
      <c r="B13" s="31">
        <f>COUNTIF('Patient Data'!AT2:AT1000,"Yes")</f>
        <v>48</v>
      </c>
      <c r="C13" s="31">
        <f>COUNTIFS('Patient Data'!AT2:AT1000,"&lt;&gt;Not recorded",'Patient Data'!AT2:AT1000,"&lt;&gt;")</f>
        <v>51</v>
      </c>
      <c r="D13" s="40">
        <f t="shared" si="0"/>
        <v>0.94117647058823528</v>
      </c>
      <c r="E13" s="31">
        <f>COUNTIF('Patient Data'!AU2:AU1000,"Yes")</f>
        <v>42</v>
      </c>
      <c r="F13" s="31">
        <f>COUNTIFS('Patient Data'!AU2:AU1000,"&lt;&gt;Not recorded",'Patient Data'!AU2:AU1000,"&lt;&gt;")</f>
        <v>48</v>
      </c>
      <c r="G13" s="40">
        <f t="shared" si="1"/>
        <v>0.875</v>
      </c>
    </row>
    <row r="14" spans="1:7" ht="15" customHeight="1" x14ac:dyDescent="0.25">
      <c r="A14" s="31" t="s">
        <v>82</v>
      </c>
      <c r="B14" s="31">
        <f>COUNTIF('Patient Data'!AV2:AV1000,"Yes")</f>
        <v>41</v>
      </c>
      <c r="C14" s="31">
        <f>COUNTIFS('Patient Data'!AV2:AV1000,"&lt;&gt;Not recorded",'Patient Data'!AV2:AV1000,"&lt;&gt;")</f>
        <v>47</v>
      </c>
      <c r="D14" s="40">
        <f t="shared" si="0"/>
        <v>0.87234042553191493</v>
      </c>
      <c r="E14" s="31">
        <f>COUNTIF('Patient Data'!AW2:AW1000,"Yes")</f>
        <v>38</v>
      </c>
      <c r="F14" s="31">
        <f>COUNTIFS('Patient Data'!AW2:AW1000,"&lt;&gt;Not recorded",'Patient Data'!AW2:AW1000,"&lt;&gt;")</f>
        <v>49</v>
      </c>
      <c r="G14" s="40">
        <f t="shared" si="1"/>
        <v>0.77551020408163263</v>
      </c>
    </row>
    <row r="15" spans="1:7" ht="15" customHeight="1" x14ac:dyDescent="0.25">
      <c r="A15" s="31" t="s">
        <v>83</v>
      </c>
      <c r="B15" s="31">
        <f>COUNTIF('Patient Data'!AX2:AX1000,"Yes")</f>
        <v>43</v>
      </c>
      <c r="C15" s="31">
        <f>COUNTIFS('Patient Data'!AX2:AX1000,"&lt;&gt;Not recorded",'Patient Data'!AX2:AX1000,"&lt;&gt;")</f>
        <v>51</v>
      </c>
      <c r="D15" s="40">
        <f t="shared" si="0"/>
        <v>0.84313725490196079</v>
      </c>
      <c r="E15" s="31">
        <f>COUNTIF('Patient Data'!AY2:AY1000,"Yes")</f>
        <v>26</v>
      </c>
      <c r="F15" s="31">
        <f>COUNTIFS('Patient Data'!AY2:AY1000,"&lt;&gt;Not recorded",'Patient Data'!AY2:AY1000,"&lt;&gt;")</f>
        <v>48</v>
      </c>
      <c r="G15" s="40">
        <f t="shared" si="1"/>
        <v>0.54166666666666663</v>
      </c>
    </row>
  </sheetData>
  <mergeCells count="3">
    <mergeCell ref="A1:G1"/>
    <mergeCell ref="A2:G2"/>
    <mergeCell ref="A4:G4"/>
  </mergeCells>
  <pageMargins left="0.4" right="0.4" top="0.5" bottom="0.5" header="0.511811023622047" footer="0.511811023622047"/>
  <pageSetup paperSize="9"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28"/>
  <sheetViews>
    <sheetView showGridLines="0" zoomScaleNormal="100" workbookViewId="0">
      <selection activeCell="C7" sqref="C7"/>
    </sheetView>
  </sheetViews>
  <sheetFormatPr defaultColWidth="8.7109375" defaultRowHeight="15" x14ac:dyDescent="0.25"/>
  <cols>
    <col min="1" max="1" width="30" customWidth="1"/>
    <col min="2" max="4" width="18" customWidth="1"/>
    <col min="5" max="5" width="50" customWidth="1"/>
  </cols>
  <sheetData>
    <row r="1" spans="1:5" ht="25.5" customHeight="1" x14ac:dyDescent="0.25">
      <c r="A1" s="14" t="s">
        <v>481</v>
      </c>
      <c r="B1" s="14"/>
      <c r="C1" s="14"/>
      <c r="D1" s="14"/>
      <c r="E1" s="14"/>
    </row>
    <row r="3" spans="1:5" ht="19.5" customHeight="1" x14ac:dyDescent="0.25">
      <c r="A3" s="11" t="s">
        <v>482</v>
      </c>
      <c r="B3" s="11"/>
      <c r="C3" s="11"/>
      <c r="D3" s="11"/>
      <c r="E3" s="11"/>
    </row>
    <row r="4" spans="1:5" ht="15" customHeight="1" x14ac:dyDescent="0.25">
      <c r="A4" s="1" t="s">
        <v>483</v>
      </c>
      <c r="B4" s="1"/>
      <c r="C4" s="1"/>
      <c r="D4" s="1"/>
      <c r="E4" s="1"/>
    </row>
    <row r="5" spans="1:5" ht="15" customHeight="1" x14ac:dyDescent="0.25">
      <c r="B5" s="41" t="s">
        <v>484</v>
      </c>
      <c r="C5" s="41" t="s">
        <v>485</v>
      </c>
    </row>
    <row r="6" spans="1:5" ht="15" customHeight="1" x14ac:dyDescent="0.25">
      <c r="A6" s="31" t="s">
        <v>486</v>
      </c>
      <c r="B6" s="31">
        <f>COUNTIFS('Patient Data'!AD2:AD1000,"Satisfactory",'Patient Data'!AE2:AE1000,"Satisfactory")</f>
        <v>10</v>
      </c>
      <c r="C6" s="31">
        <f>COUNTIFS('Patient Data'!AD2:AD1000,"Satisfactory",'Patient Data'!AE2:AE1000,"Unsatisfactory")</f>
        <v>8</v>
      </c>
    </row>
    <row r="7" spans="1:5" ht="15" customHeight="1" x14ac:dyDescent="0.25">
      <c r="A7" s="31" t="s">
        <v>487</v>
      </c>
      <c r="B7" s="31">
        <f>COUNTIFS('Patient Data'!AD2:AD1000,"Unsatisfactory",'Patient Data'!AE2:AE1000,"Satisfactory")</f>
        <v>5</v>
      </c>
      <c r="C7" s="31">
        <f>COUNTIFS('Patient Data'!AD2:AD1000,"Unsatisfactory",'Patient Data'!AE2:AE1000,"Unsatisfactory")</f>
        <v>4</v>
      </c>
    </row>
    <row r="9" spans="1:5" ht="15" customHeight="1" x14ac:dyDescent="0.25">
      <c r="A9" s="41" t="s">
        <v>488</v>
      </c>
      <c r="B9">
        <f>C6</f>
        <v>8</v>
      </c>
      <c r="C9">
        <f>B7</f>
        <v>5</v>
      </c>
    </row>
    <row r="10" spans="1:5" ht="15" customHeight="1" x14ac:dyDescent="0.25">
      <c r="A10" s="41" t="s">
        <v>489</v>
      </c>
      <c r="B10" s="42">
        <f>IFERROR((ABS(C6-B7)-1)^2/(C6+B7),"n/a")</f>
        <v>0.30769230769230771</v>
      </c>
    </row>
    <row r="11" spans="1:5" ht="15" customHeight="1" x14ac:dyDescent="0.25">
      <c r="A11" s="41" t="s">
        <v>490</v>
      </c>
      <c r="B11" s="43">
        <f>IFERROR(CHIDIST(B10,1),"n/a")</f>
        <v>0.57909974195391878</v>
      </c>
    </row>
    <row r="12" spans="1:5" ht="15" customHeight="1" x14ac:dyDescent="0.25">
      <c r="A12" s="1" t="s">
        <v>491</v>
      </c>
      <c r="B12" s="1"/>
      <c r="C12" s="1"/>
      <c r="D12" s="1"/>
      <c r="E12" s="1"/>
    </row>
    <row r="14" spans="1:5" ht="19.5" customHeight="1" x14ac:dyDescent="0.25">
      <c r="A14" s="11" t="s">
        <v>492</v>
      </c>
      <c r="B14" s="11"/>
      <c r="C14" s="11"/>
      <c r="D14" s="11"/>
      <c r="E14" s="11"/>
    </row>
    <row r="15" spans="1:5" ht="15" customHeight="1" x14ac:dyDescent="0.25">
      <c r="A15" s="1" t="s">
        <v>493</v>
      </c>
      <c r="B15" s="1"/>
      <c r="C15" s="1"/>
      <c r="D15" s="1"/>
      <c r="E15" s="1"/>
    </row>
    <row r="16" spans="1:5" ht="15" customHeight="1" x14ac:dyDescent="0.25">
      <c r="A16" s="41" t="s">
        <v>494</v>
      </c>
      <c r="B16">
        <f>B6+C6+B7+C7</f>
        <v>27</v>
      </c>
    </row>
    <row r="17" spans="1:5" ht="15" customHeight="1" x14ac:dyDescent="0.25">
      <c r="A17" s="41" t="s">
        <v>495</v>
      </c>
      <c r="B17" s="42">
        <f>IFERROR((B6+C7)/B16,"n/a")</f>
        <v>0.51851851851851849</v>
      </c>
    </row>
    <row r="18" spans="1:5" ht="15" customHeight="1" x14ac:dyDescent="0.25">
      <c r="A18" s="41" t="s">
        <v>496</v>
      </c>
      <c r="B18" s="42">
        <f>IFERROR(((B6+C6)*(B6+B7)+(B7+C7)*(C6+C7))/(B16^2),"n/a")</f>
        <v>0.51851851851851849</v>
      </c>
    </row>
    <row r="19" spans="1:5" ht="15" customHeight="1" x14ac:dyDescent="0.25">
      <c r="A19" s="41" t="s">
        <v>497</v>
      </c>
      <c r="B19" s="43">
        <f>IFERROR((B17-B18)/(1-B18),"n/a")</f>
        <v>0</v>
      </c>
    </row>
    <row r="20" spans="1:5" ht="15" customHeight="1" x14ac:dyDescent="0.25">
      <c r="A20" s="1" t="s">
        <v>498</v>
      </c>
      <c r="B20" s="1"/>
      <c r="C20" s="1"/>
      <c r="D20" s="1"/>
      <c r="E20" s="1"/>
    </row>
    <row r="22" spans="1:5" ht="19.5" customHeight="1" x14ac:dyDescent="0.25">
      <c r="A22" s="11" t="s">
        <v>499</v>
      </c>
      <c r="B22" s="11"/>
      <c r="C22" s="11"/>
      <c r="D22" s="11"/>
      <c r="E22" s="11"/>
    </row>
    <row r="23" spans="1:5" ht="15" customHeight="1" x14ac:dyDescent="0.25">
      <c r="A23" s="41" t="s">
        <v>500</v>
      </c>
      <c r="B23" s="44">
        <f>IFERROR(AVERAGE('Patient Data'!M2:M1000)-AVERAGE('Patient Data'!N2:N1000),"")</f>
        <v>-0.29215686274510233</v>
      </c>
    </row>
    <row r="24" spans="1:5" ht="15" customHeight="1" x14ac:dyDescent="0.25">
      <c r="A24" s="41" t="s">
        <v>501</v>
      </c>
      <c r="B24" s="43">
        <f>IFERROR(TTEST('Patient Data'!M2:M1000,'Patient Data'!N2:N1000,2,1),"")</f>
        <v>0.14741641237429418</v>
      </c>
    </row>
    <row r="25" spans="1:5" ht="15" customHeight="1" x14ac:dyDescent="0.25">
      <c r="A25" s="1" t="s">
        <v>502</v>
      </c>
      <c r="B25" s="1"/>
      <c r="C25" s="1"/>
      <c r="D25" s="1"/>
      <c r="E25" s="1"/>
    </row>
    <row r="27" spans="1:5" ht="19.5" customHeight="1" x14ac:dyDescent="0.25">
      <c r="A27" s="11" t="s">
        <v>503</v>
      </c>
      <c r="B27" s="11"/>
      <c r="C27" s="11"/>
      <c r="D27" s="11"/>
      <c r="E27" s="11"/>
    </row>
    <row r="28" spans="1:5" ht="45" customHeight="1" x14ac:dyDescent="0.25">
      <c r="A28" s="12" t="s">
        <v>504</v>
      </c>
      <c r="B28" s="12"/>
      <c r="C28" s="12"/>
      <c r="D28" s="12"/>
      <c r="E28" s="12"/>
    </row>
  </sheetData>
  <mergeCells count="11">
    <mergeCell ref="A28:E28"/>
    <mergeCell ref="A15:E15"/>
    <mergeCell ref="A20:E20"/>
    <mergeCell ref="A22:E22"/>
    <mergeCell ref="A25:E25"/>
    <mergeCell ref="A27:E27"/>
    <mergeCell ref="A1:E1"/>
    <mergeCell ref="A3:E3"/>
    <mergeCell ref="A4:E4"/>
    <mergeCell ref="A12:E12"/>
    <mergeCell ref="A14:E14"/>
  </mergeCells>
  <pageMargins left="0.4" right="0.4" top="0.5" bottom="0.5"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12"/>
  <sheetViews>
    <sheetView showGridLines="0" zoomScaleNormal="100" workbookViewId="0">
      <selection activeCell="A12" sqref="A12:B12"/>
    </sheetView>
  </sheetViews>
  <sheetFormatPr defaultColWidth="8.7109375" defaultRowHeight="15" x14ac:dyDescent="0.25"/>
  <cols>
    <col min="1" max="1" width="45" customWidth="1"/>
    <col min="2" max="2" width="14" customWidth="1"/>
  </cols>
  <sheetData>
    <row r="1" spans="1:2" ht="25.5" customHeight="1" x14ac:dyDescent="0.25">
      <c r="A1" s="14" t="s">
        <v>505</v>
      </c>
      <c r="B1" s="14"/>
    </row>
    <row r="3" spans="1:2" ht="15" customHeight="1" x14ac:dyDescent="0.25">
      <c r="A3" s="45" t="s">
        <v>506</v>
      </c>
      <c r="B3" s="45" t="s">
        <v>436</v>
      </c>
    </row>
    <row r="4" spans="1:2" ht="15" customHeight="1" x14ac:dyDescent="0.25">
      <c r="A4" s="31" t="s">
        <v>507</v>
      </c>
      <c r="B4" s="46">
        <f>COUNTA('Patient Data'!A2:A1000)</f>
        <v>51</v>
      </c>
    </row>
    <row r="5" spans="1:2" ht="15" customHeight="1" x14ac:dyDescent="0.25">
      <c r="A5" s="31" t="s">
        <v>508</v>
      </c>
      <c r="B5" s="46">
        <f>SUMPRODUCT((COUNTIF('Patient Data'!A2:A1000,'Patient Data'!A2:A1000)&gt;1)*('Patient Data'!A2:A1000&lt;&gt;""))</f>
        <v>0</v>
      </c>
    </row>
    <row r="6" spans="1:2" ht="15" customHeight="1" x14ac:dyDescent="0.25">
      <c r="A6" s="31" t="s">
        <v>509</v>
      </c>
      <c r="B6" s="46">
        <f>COUNTIFS('Patient Data'!B2:B1000,"&lt;&gt;",'Patient Data'!A2:A1000,"")</f>
        <v>0</v>
      </c>
    </row>
    <row r="7" spans="1:2" ht="15" customHeight="1" x14ac:dyDescent="0.25">
      <c r="A7" s="31" t="s">
        <v>510</v>
      </c>
      <c r="B7" s="46">
        <f>COUNTIFS('Patient Data'!A2:A1000,"&lt;&gt;",'Patient Data'!C2:C1000,"")</f>
        <v>0</v>
      </c>
    </row>
    <row r="8" spans="1:2" ht="15" customHeight="1" x14ac:dyDescent="0.25">
      <c r="A8" s="31" t="s">
        <v>511</v>
      </c>
      <c r="B8" s="46">
        <f>COUNTIFS('Patient Data'!A2:A1000,"&lt;&gt;",'Patient Data'!AB2:AB1000,"")</f>
        <v>0</v>
      </c>
    </row>
    <row r="9" spans="1:2" ht="15" customHeight="1" x14ac:dyDescent="0.25">
      <c r="A9" s="31" t="s">
        <v>512</v>
      </c>
      <c r="B9" s="46">
        <f>COUNTIFS('Patient Data'!A2:A1000,"&lt;&gt;",'Patient Data'!AD2:AD1000,"Not recorded")+COUNTIFS('Patient Data'!A2:A1000,"&lt;&gt;",'Patient Data'!AD2:AD1000,"")</f>
        <v>15</v>
      </c>
    </row>
    <row r="10" spans="1:2" ht="15" customHeight="1" x14ac:dyDescent="0.25">
      <c r="A10" s="31" t="s">
        <v>513</v>
      </c>
      <c r="B10" s="46">
        <f>COUNTIFS('Patient Data'!A2:A1000,"&lt;&gt;",'Patient Data'!AE2:AE1000,"Not recorded")+COUNTIFS('Patient Data'!A2:A1000,"&lt;&gt;",'Patient Data'!AE2:AE1000,"")</f>
        <v>12</v>
      </c>
    </row>
    <row r="12" spans="1:2" ht="30" customHeight="1" x14ac:dyDescent="0.25">
      <c r="A12" s="47" t="s">
        <v>514</v>
      </c>
      <c r="B12" s="47"/>
    </row>
  </sheetData>
  <mergeCells count="2">
    <mergeCell ref="A1:B1"/>
    <mergeCell ref="A12:B12"/>
  </mergeCells>
  <conditionalFormatting sqref="B5:B10">
    <cfRule type="cellIs" dxfId="1" priority="2" operator="greaterThan">
      <formula>0</formula>
    </cfRule>
    <cfRule type="cellIs" dxfId="0" priority="3" operator="equal">
      <formula>0</formula>
    </cfRule>
  </conditionalFormatting>
  <pageMargins left="0.4" right="0.4"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Instructions</vt:lpstr>
      <vt:lpstr>Entry Form</vt:lpstr>
      <vt:lpstr>Patient Data</vt:lpstr>
      <vt:lpstr>Dashboard</vt:lpstr>
      <vt:lpstr>Clinical Analysis</vt:lpstr>
      <vt:lpstr>Technical Comparison</vt:lpstr>
      <vt:lpstr>Statistical Tests</vt:lpstr>
      <vt:lpstr>Data Quality</vt:lpstr>
      <vt:lpstr>'Clinical Analysis'!Print_Area</vt:lpstr>
      <vt:lpstr>Dashboard!Print_Area</vt:lpstr>
      <vt:lpstr>'Data Quality'!Print_Area</vt:lpstr>
      <vt:lpstr>Instructions!Print_Area</vt:lpstr>
      <vt:lpstr>'Statistical Tests'!Print_Area</vt:lpstr>
      <vt:lpstr>'Technical Comparison'!Print_Area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ARSLAN KHAN F21-0002</cp:lastModifiedBy>
  <cp:revision>4</cp:revision>
  <dcterms:created xsi:type="dcterms:W3CDTF">2026-09-09T04:27:15Z</dcterms:created>
  <dcterms:modified xsi:type="dcterms:W3CDTF">2026-09-10T05:13:58Z</dcterms:modified>
  <dc:language>en-US</dc:language>
</cp:coreProperties>
</file>